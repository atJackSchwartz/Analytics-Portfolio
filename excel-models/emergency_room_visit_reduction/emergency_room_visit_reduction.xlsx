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9bca8de754b386/Desktop/Applied Analytics/Case Study Project/"/>
    </mc:Choice>
  </mc:AlternateContent>
  <xr:revisionPtr revIDLastSave="764" documentId="8_{5FC079EC-8AF9-4582-96F5-9FB96D563A4C}" xr6:coauthVersionLast="47" xr6:coauthVersionMax="47" xr10:uidLastSave="{61E4D96B-71EA-4F6A-A1CA-F70A726CF3AE}"/>
  <bookViews>
    <workbookView xWindow="-27540" yWindow="615" windowWidth="27015" windowHeight="14760" xr2:uid="{224F360A-0BCC-4D10-A076-164AEB19AC52}"/>
  </bookViews>
  <sheets>
    <sheet name="Case Study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 s="1"/>
  <c r="M3" i="1"/>
  <c r="M4" i="1" s="1"/>
  <c r="L3" i="1"/>
  <c r="L4" i="1" s="1"/>
  <c r="I3" i="1"/>
  <c r="I4" i="1" s="1"/>
  <c r="H3" i="1"/>
  <c r="H4" i="1" s="1"/>
  <c r="G3" i="1"/>
  <c r="G4" i="1" s="1"/>
  <c r="G7" i="1" s="1"/>
  <c r="D3" i="1"/>
  <c r="D4" i="1" s="1"/>
  <c r="D5" i="1" s="1"/>
  <c r="C3" i="1"/>
  <c r="C4" i="1" s="1"/>
  <c r="B3" i="1"/>
  <c r="B4" i="1" s="1"/>
  <c r="B5" i="1" s="1"/>
  <c r="B6" i="1" s="1"/>
  <c r="Q17" i="1"/>
  <c r="Q18" i="1" s="1"/>
  <c r="D7" i="1" l="1"/>
  <c r="D6" i="1"/>
  <c r="D11" i="1"/>
  <c r="B18" i="1" s="1"/>
  <c r="M5" i="1"/>
  <c r="M11" i="1" s="1"/>
  <c r="H7" i="1"/>
  <c r="H5" i="1"/>
  <c r="H11" i="1" s="1"/>
  <c r="I5" i="1"/>
  <c r="I11" i="1" s="1"/>
  <c r="B19" i="1" s="1"/>
  <c r="I7" i="1"/>
  <c r="L5" i="1"/>
  <c r="L11" i="1" s="1"/>
  <c r="N5" i="1"/>
  <c r="N11" i="1" s="1"/>
  <c r="B20" i="1" s="1"/>
  <c r="G5" i="1"/>
  <c r="G11" i="1" s="1"/>
  <c r="B11" i="1"/>
  <c r="C5" i="1"/>
  <c r="C6" i="1" s="1"/>
  <c r="B7" i="1"/>
  <c r="B10" i="1" s="1"/>
  <c r="D10" i="1"/>
  <c r="I6" i="1" l="1"/>
  <c r="I10" i="1" s="1"/>
  <c r="G6" i="1"/>
  <c r="N7" i="1"/>
  <c r="N6" i="1"/>
  <c r="L7" i="1"/>
  <c r="L6" i="1"/>
  <c r="H6" i="1"/>
  <c r="H10" i="1" s="1"/>
  <c r="C7" i="1"/>
  <c r="C11" i="1"/>
  <c r="M7" i="1"/>
  <c r="M6" i="1"/>
  <c r="C10" i="1"/>
  <c r="B23" i="1" s="1"/>
  <c r="M10" i="1" l="1"/>
  <c r="N10" i="1"/>
  <c r="L10" i="1"/>
  <c r="B25" i="1" s="1"/>
  <c r="G10" i="1"/>
  <c r="B24" i="1" s="1"/>
</calcChain>
</file>

<file path=xl/sharedStrings.xml><?xml version="1.0" encoding="utf-8"?>
<sst xmlns="http://schemas.openxmlformats.org/spreadsheetml/2006/main" count="88" uniqueCount="52">
  <si>
    <t>Membership</t>
  </si>
  <si>
    <t>Baseline Utilization</t>
  </si>
  <si>
    <t>Reduced Utilization based on Assumptions</t>
  </si>
  <si>
    <t>Gross Cost Savings from Reduced Utilization</t>
  </si>
  <si>
    <t>Added Costs Based on Assumptions</t>
  </si>
  <si>
    <t>Net Savings</t>
  </si>
  <si>
    <t>Year 1</t>
  </si>
  <si>
    <t>Year 2</t>
  </si>
  <si>
    <t>Year 3</t>
  </si>
  <si>
    <t>ER Utilization Visits per 1000 members</t>
  </si>
  <si>
    <t>Avg ER Visit Cost</t>
  </si>
  <si>
    <t>Practitioner Salary</t>
  </si>
  <si>
    <t>Practitioner Yearly Salary Increase</t>
  </si>
  <si>
    <t>Option 1 Data</t>
  </si>
  <si>
    <t>Years</t>
  </si>
  <si>
    <t>Avg Yearly Memberships</t>
  </si>
  <si>
    <t>Year</t>
  </si>
  <si>
    <t>Baseline Data</t>
  </si>
  <si>
    <t>Overall ER Visit Reduction per Year</t>
  </si>
  <si>
    <t>Patient Accessibility</t>
  </si>
  <si>
    <t>Cost per Urgent Care Visit</t>
  </si>
  <si>
    <t>Option 3 Data</t>
  </si>
  <si>
    <t>Yearly ER Visit Reduction %</t>
  </si>
  <si>
    <t>Setup Cost</t>
  </si>
  <si>
    <t>Marketing Cost per Year</t>
  </si>
  <si>
    <t>Overhead Cost per Year</t>
  </si>
  <si>
    <t>Overall ER Visit reduction %</t>
  </si>
  <si>
    <t>Cost per Visit</t>
  </si>
  <si>
    <t>% of Avoided Visits</t>
  </si>
  <si>
    <t>Cost</t>
  </si>
  <si>
    <t>Replacement Type</t>
  </si>
  <si>
    <t>Office Visit</t>
  </si>
  <si>
    <t>No visit</t>
  </si>
  <si>
    <t>% of Avoided visit Redirected to Urgent Care</t>
  </si>
  <si>
    <t>% Redirected</t>
  </si>
  <si>
    <t>Redirectment Type</t>
  </si>
  <si>
    <t>Urgent Care</t>
  </si>
  <si>
    <t>Primary Care</t>
  </si>
  <si>
    <t>None</t>
  </si>
  <si>
    <t>Yearly Operating Cost (5% inflation/year)</t>
  </si>
  <si>
    <t>Option 3 - Triage Nurse Line</t>
  </si>
  <si>
    <t>D</t>
  </si>
  <si>
    <t>ER Utilization</t>
  </si>
  <si>
    <t>Option 1: Additional Practitioner</t>
  </si>
  <si>
    <t>Option 2: Urgent Care Center</t>
  </si>
  <si>
    <t>Year One</t>
  </si>
  <si>
    <t>Year Two</t>
  </si>
  <si>
    <t>Year Three</t>
  </si>
  <si>
    <t>Option 3: Traige Nurse Line</t>
  </si>
  <si>
    <t>Total Net Savings (3-Years)</t>
  </si>
  <si>
    <t>Meets Utilization Goal? (≤450)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</si>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</sst>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6" fontId="0" fillId="0" borderId="0" xfId="0" applyNumberFormat="1"/>
    <xf numFmtId="0" fontId="2" fillId="0" borderId="0" xfId="0" applyFont="1"/>
    <xf numFmtId="0" fontId="2" fillId="2" borderId="1" xfId="0" applyFont="1" applyFill="1" applyBorder="1"/>
    <xf numFmtId="8" fontId="0" fillId="0" borderId="0" xfId="0" applyNumberFormat="1"/>
    <xf numFmtId="6" fontId="0" fillId="2" borderId="1" xfId="0" applyNumberFormat="1" applyFill="1" applyBorder="1"/>
    <xf numFmtId="0" fontId="1" fillId="0" borderId="0" xfId="0" applyFont="1"/>
    <xf numFmtId="0" fontId="2" fillId="0" borderId="1" xfId="0" applyFont="1" applyBorder="1"/>
    <xf numFmtId="0" fontId="3" fillId="0" borderId="3" xfId="0" applyFont="1" applyBorder="1"/>
    <xf numFmtId="0" fontId="2" fillId="2" borderId="3" xfId="0" applyFont="1" applyFill="1" applyBorder="1"/>
    <xf numFmtId="6" fontId="0" fillId="2" borderId="3" xfId="0" applyNumberFormat="1" applyFill="1" applyBorder="1"/>
    <xf numFmtId="9" fontId="2" fillId="2" borderId="3" xfId="0" applyNumberFormat="1" applyFont="1" applyFill="1" applyBorder="1"/>
    <xf numFmtId="9" fontId="2" fillId="0" borderId="0" xfId="0" applyNumberFormat="1" applyFont="1"/>
    <xf numFmtId="9" fontId="2" fillId="2" borderId="1" xfId="0" applyNumberFormat="1" applyFont="1" applyFill="1" applyBorder="1"/>
    <xf numFmtId="0" fontId="3" fillId="0" borderId="3" xfId="0" applyFont="1" applyBorder="1" applyAlignment="1">
      <alignment wrapText="1"/>
    </xf>
    <xf numFmtId="8" fontId="0" fillId="2" borderId="3" xfId="0" applyNumberFormat="1" applyFill="1" applyBorder="1"/>
    <xf numFmtId="8" fontId="0" fillId="2" borderId="1" xfId="0" applyNumberFormat="1" applyFill="1" applyBorder="1"/>
    <xf numFmtId="6" fontId="0" fillId="2" borderId="2" xfId="0" applyNumberFormat="1" applyFill="1" applyBorder="1"/>
    <xf numFmtId="9" fontId="2" fillId="2" borderId="2" xfId="0" applyNumberFormat="1" applyFont="1" applyFill="1" applyBorder="1"/>
    <xf numFmtId="0" fontId="2" fillId="2" borderId="2" xfId="0" applyFont="1" applyFill="1" applyBorder="1"/>
    <xf numFmtId="6" fontId="2" fillId="2" borderId="2" xfId="0" applyNumberFormat="1" applyFont="1" applyFill="1" applyBorder="1"/>
    <xf numFmtId="9" fontId="2" fillId="0" borderId="1" xfId="0" applyNumberFormat="1" applyFont="1" applyBorder="1"/>
    <xf numFmtId="6" fontId="0" fillId="0" borderId="1" xfId="0" applyNumberFormat="1" applyBorder="1"/>
    <xf numFmtId="0" fontId="0" fillId="3" borderId="5" xfId="0" applyFill="1" applyBorder="1"/>
    <xf numFmtId="0" fontId="1" fillId="3" borderId="5" xfId="0" applyFont="1" applyFill="1" applyBorder="1"/>
    <xf numFmtId="0" fontId="1" fillId="4" borderId="6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0" borderId="6" xfId="0" applyFont="1" applyBorder="1" applyAlignment="1">
      <alignment horizontal="center"/>
    </xf>
    <xf numFmtId="44" fontId="1" fillId="0" borderId="6" xfId="0" applyNumberFormat="1" applyFont="1" applyBorder="1"/>
    <xf numFmtId="44" fontId="1" fillId="5" borderId="4" xfId="0" applyNumberFormat="1" applyFont="1" applyFill="1" applyBorder="1"/>
    <xf numFmtId="0" fontId="0" fillId="4" borderId="6" xfId="0" applyFill="1" applyBorder="1"/>
    <xf numFmtId="0" fontId="0" fillId="3" borderId="4" xfId="0" applyFill="1" applyBorder="1"/>
    <xf numFmtId="0" fontId="0" fillId="4" borderId="4" xfId="0" applyFill="1" applyBorder="1"/>
    <xf numFmtId="44" fontId="0" fillId="3" borderId="4" xfId="0" applyNumberFormat="1" applyFill="1" applyBorder="1"/>
    <xf numFmtId="164" fontId="0" fillId="3" borderId="4" xfId="0" applyNumberFormat="1" applyFill="1" applyBorder="1"/>
    <xf numFmtId="44" fontId="0" fillId="4" borderId="4" xfId="0" applyNumberFormat="1" applyFill="1" applyBorder="1"/>
    <xf numFmtId="0" fontId="0" fillId="6" borderId="0" xfId="0" applyFill="1"/>
    <xf numFmtId="0" fontId="1" fillId="6" borderId="6" xfId="0" applyFont="1" applyFill="1" applyBorder="1"/>
    <xf numFmtId="0" fontId="1" fillId="6" borderId="4" xfId="0" applyFont="1" applyFill="1" applyBorder="1"/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fgColor rgb="FFC00000"/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>
    <mruColors>
      <color rgb="FFEF3F3F"/>
      <color rgb="FFFF3300"/>
      <color rgb="FFEA3F32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7CF4-EBC2-4F54-BC24-89194B197349}">
  <dimension ref="A1:Y35"/>
  <sheetViews>
    <sheetView tabSelected="1" zoomScaleNormal="100" workbookViewId="0">
      <selection activeCell="F20" sqref="F20"/>
    </sheetView>
  </sheetViews>
  <sheetFormatPr defaultRowHeight="15" x14ac:dyDescent="0.25"/>
  <cols>
    <col min="1" max="1" width="40.5703125" bestFit="1" customWidth="1"/>
    <col min="2" max="2" width="14.28515625" bestFit="1" customWidth="1"/>
    <col min="3" max="4" width="12.5703125" bestFit="1" customWidth="1"/>
    <col min="5" max="5" width="13.5703125" customWidth="1"/>
    <col min="6" max="6" width="40.5703125" bestFit="1" customWidth="1"/>
    <col min="7" max="9" width="12.5703125" bestFit="1" customWidth="1"/>
    <col min="10" max="10" width="11.85546875" bestFit="1" customWidth="1"/>
    <col min="11" max="11" width="40.5703125" bestFit="1" customWidth="1"/>
    <col min="12" max="12" width="13.7109375" bestFit="1" customWidth="1"/>
    <col min="13" max="14" width="12.5703125" bestFit="1" customWidth="1"/>
    <col min="15" max="15" width="29" customWidth="1"/>
    <col min="16" max="16" width="8.28515625" bestFit="1" customWidth="1"/>
    <col min="17" max="17" width="28.7109375" bestFit="1" customWidth="1"/>
    <col min="19" max="19" width="38.42578125" bestFit="1" customWidth="1"/>
    <col min="20" max="20" width="34.5703125" bestFit="1" customWidth="1"/>
    <col min="21" max="21" width="27" bestFit="1" customWidth="1"/>
    <col min="22" max="22" width="20.28515625" bestFit="1" customWidth="1"/>
    <col min="23" max="23" width="20.7109375" bestFit="1" customWidth="1"/>
    <col min="24" max="24" width="15.42578125" bestFit="1" customWidth="1"/>
    <col min="25" max="25" width="15.5703125" bestFit="1" customWidth="1"/>
  </cols>
  <sheetData>
    <row r="1" spans="1:25" x14ac:dyDescent="0.25">
      <c r="A1" s="44" t="s">
        <v>43</v>
      </c>
      <c r="B1" s="44"/>
      <c r="C1" s="44"/>
      <c r="D1" s="44"/>
      <c r="F1" s="44" t="s">
        <v>44</v>
      </c>
      <c r="G1" s="44"/>
      <c r="H1" s="44"/>
      <c r="I1" s="44"/>
      <c r="K1" s="44" t="s">
        <v>40</v>
      </c>
      <c r="L1" s="44"/>
      <c r="M1" s="44"/>
      <c r="N1" s="44"/>
      <c r="P1" s="44" t="s">
        <v>17</v>
      </c>
      <c r="Q1" s="44"/>
      <c r="R1" s="44"/>
      <c r="S1" s="44"/>
      <c r="T1" s="44"/>
      <c r="U1" s="45"/>
      <c r="V1" s="45"/>
    </row>
    <row r="2" spans="1:25" ht="15.75" thickBot="1" x14ac:dyDescent="0.3">
      <c r="A2" s="23"/>
      <c r="B2" s="24" t="s">
        <v>45</v>
      </c>
      <c r="C2" s="24" t="s">
        <v>46</v>
      </c>
      <c r="D2" s="24" t="s">
        <v>47</v>
      </c>
      <c r="F2" s="23"/>
      <c r="G2" s="24" t="s">
        <v>45</v>
      </c>
      <c r="H2" s="24" t="s">
        <v>46</v>
      </c>
      <c r="I2" s="24" t="s">
        <v>47</v>
      </c>
      <c r="K2" s="23"/>
      <c r="L2" s="24" t="s">
        <v>45</v>
      </c>
      <c r="M2" s="24" t="s">
        <v>46</v>
      </c>
      <c r="N2" s="24" t="s">
        <v>47</v>
      </c>
      <c r="P2" s="8" t="s">
        <v>14</v>
      </c>
      <c r="Q2" s="8" t="s">
        <v>15</v>
      </c>
      <c r="S2" s="8" t="s">
        <v>9</v>
      </c>
      <c r="T2" s="8" t="s">
        <v>10</v>
      </c>
    </row>
    <row r="3" spans="1:25" ht="15.75" thickTop="1" x14ac:dyDescent="0.25">
      <c r="A3" s="25" t="s">
        <v>0</v>
      </c>
      <c r="B3" s="32">
        <f>Q3</f>
        <v>5000</v>
      </c>
      <c r="C3" s="32">
        <f>Q4</f>
        <v>5500</v>
      </c>
      <c r="D3" s="32">
        <f>Q5</f>
        <v>6000</v>
      </c>
      <c r="F3" s="25" t="s">
        <v>0</v>
      </c>
      <c r="G3" s="32">
        <f>Q3</f>
        <v>5000</v>
      </c>
      <c r="H3" s="32">
        <f>Q4</f>
        <v>5500</v>
      </c>
      <c r="I3" s="32">
        <f>Q5</f>
        <v>6000</v>
      </c>
      <c r="K3" s="25" t="s">
        <v>0</v>
      </c>
      <c r="L3" s="25">
        <f>Q3</f>
        <v>5000</v>
      </c>
      <c r="M3" s="25">
        <f>Q4</f>
        <v>5500</v>
      </c>
      <c r="N3" s="25">
        <f>Q5</f>
        <v>6000</v>
      </c>
      <c r="P3" s="9" t="s">
        <v>6</v>
      </c>
      <c r="Q3" s="9">
        <v>5000</v>
      </c>
      <c r="S3" s="19">
        <v>525</v>
      </c>
      <c r="T3" s="20">
        <v>1200</v>
      </c>
    </row>
    <row r="4" spans="1:25" x14ac:dyDescent="0.25">
      <c r="A4" s="26" t="s">
        <v>1</v>
      </c>
      <c r="B4" s="33">
        <f>B3/1000 * $S$3</f>
        <v>2625</v>
      </c>
      <c r="C4" s="33">
        <f>C3/1000 * $S$3</f>
        <v>2887.5</v>
      </c>
      <c r="D4" s="33">
        <f>D3/1000 * $S$3</f>
        <v>3150</v>
      </c>
      <c r="F4" s="26" t="s">
        <v>1</v>
      </c>
      <c r="G4" s="33">
        <f>G3/1000 * $S$3</f>
        <v>2625</v>
      </c>
      <c r="H4" s="33">
        <f>H3/1000 * $S$3</f>
        <v>2887.5</v>
      </c>
      <c r="I4" s="33">
        <f>I3/1000 * $S$3</f>
        <v>3150</v>
      </c>
      <c r="K4" s="26" t="s">
        <v>1</v>
      </c>
      <c r="L4" s="33">
        <f>L3/1000 * $S$3</f>
        <v>2625</v>
      </c>
      <c r="M4" s="33">
        <f>M3/1000 * $S$3</f>
        <v>2887.5</v>
      </c>
      <c r="N4" s="33">
        <f>N3/1000 * $S$3</f>
        <v>3150</v>
      </c>
      <c r="P4" s="2" t="s">
        <v>7</v>
      </c>
      <c r="Q4" s="2">
        <v>5500</v>
      </c>
    </row>
    <row r="5" spans="1:25" x14ac:dyDescent="0.25">
      <c r="A5" s="27" t="s">
        <v>2</v>
      </c>
      <c r="B5" s="34">
        <f>B4*(1-$Q$10)</f>
        <v>2362.5</v>
      </c>
      <c r="C5" s="34">
        <f>C4*(1-$Q$11)</f>
        <v>2454.375</v>
      </c>
      <c r="D5" s="34">
        <f>D4*(1-$Q$12)</f>
        <v>2677.5</v>
      </c>
      <c r="F5" s="27" t="s">
        <v>2</v>
      </c>
      <c r="G5" s="34">
        <f>G4-(G4*$S$16 *$T$16)</f>
        <v>2467.5</v>
      </c>
      <c r="H5" s="34">
        <f>H4-(H4*$S$16 *$T$16)</f>
        <v>2714.25</v>
      </c>
      <c r="I5" s="34">
        <f>I4-(I4*$S$16 *$T$16)</f>
        <v>2961</v>
      </c>
      <c r="K5" s="27" t="s">
        <v>2</v>
      </c>
      <c r="L5" s="34">
        <f>L4*Q23</f>
        <v>262.5</v>
      </c>
      <c r="M5" s="34">
        <f>M4*Q24</f>
        <v>433.125</v>
      </c>
      <c r="N5" s="34">
        <f>N4*Q25</f>
        <v>472.5</v>
      </c>
      <c r="P5" s="3" t="s">
        <v>8</v>
      </c>
      <c r="Q5" s="3">
        <v>6000</v>
      </c>
    </row>
    <row r="6" spans="1:25" x14ac:dyDescent="0.25">
      <c r="A6" s="26" t="s">
        <v>3</v>
      </c>
      <c r="B6" s="35">
        <f>(B4-B5) * $T$3</f>
        <v>315000</v>
      </c>
      <c r="C6" s="35">
        <f>(C4-C5) * $T$3</f>
        <v>519750</v>
      </c>
      <c r="D6" s="36">
        <f>(D4-D5) * $T$3</f>
        <v>567000</v>
      </c>
      <c r="F6" s="26" t="s">
        <v>3</v>
      </c>
      <c r="G6" s="35">
        <f>(G4-G5) * $T$3</f>
        <v>189000</v>
      </c>
      <c r="H6" s="35">
        <f>(H4-H5)*$T$3</f>
        <v>207900</v>
      </c>
      <c r="I6" s="35">
        <f>(I4-I5)* $T$3</f>
        <v>226800</v>
      </c>
      <c r="K6" s="26" t="s">
        <v>3</v>
      </c>
      <c r="L6" s="35">
        <f>L5*$T$3</f>
        <v>315000</v>
      </c>
      <c r="M6" s="35">
        <f>M5*$T$3</f>
        <v>519750</v>
      </c>
      <c r="N6" s="35">
        <f>N5*$T$3</f>
        <v>567000</v>
      </c>
    </row>
    <row r="7" spans="1:25" x14ac:dyDescent="0.25">
      <c r="A7" s="27" t="s">
        <v>4</v>
      </c>
      <c r="B7" s="37">
        <f>((B4-B5)* $W$10 * $X$10) + $S$10</f>
        <v>99843.75</v>
      </c>
      <c r="C7" s="37">
        <f>((C4-C5) * $W$10 * $X$10) + ($S$10 * T10)</f>
        <v>108942.1875</v>
      </c>
      <c r="D7" s="37">
        <f>((D4-D5) * $W$10 * $X$10) + ($S$10 *T10^2)</f>
        <v>113199.75</v>
      </c>
      <c r="F7" s="27" t="s">
        <v>4</v>
      </c>
      <c r="G7" s="37">
        <f>((G4*$S$16 *$T$16)*$U$16) + Q16</f>
        <v>138625</v>
      </c>
      <c r="H7" s="37">
        <f>((H4*$S$16 *$T$16)*$U$16) + Q17</f>
        <v>146737.5</v>
      </c>
      <c r="I7" s="37">
        <f>((I4*$S$16 *$T$16)*$U$16) + Q18</f>
        <v>155137.5</v>
      </c>
      <c r="K7" s="27" t="s">
        <v>4</v>
      </c>
      <c r="L7" s="37">
        <f>((L5*$X$23*$Y$23)+(L5*$X$24*$Y$24)+($S$23+$T$23+$U$23))</f>
        <v>54687.5</v>
      </c>
      <c r="M7" s="37">
        <f>((M5*$X$23*$Y$23)+(M5*$X$24*$Y$24)+($T$23+$U$23))</f>
        <v>57484.375</v>
      </c>
      <c r="N7" s="37">
        <f>((N5*$X$23*$Y$23)+(N5*$X$24*$Y$24)+($T$23+$U$23))</f>
        <v>60437.5</v>
      </c>
    </row>
    <row r="8" spans="1:25" x14ac:dyDescent="0.25">
      <c r="G8" s="6"/>
      <c r="H8" s="6"/>
      <c r="I8" s="6"/>
      <c r="L8" s="6"/>
      <c r="M8" s="6"/>
      <c r="N8" s="6"/>
      <c r="P8" s="44" t="s">
        <v>13</v>
      </c>
      <c r="Q8" s="44"/>
      <c r="R8" s="44"/>
      <c r="S8" s="44"/>
      <c r="T8" s="44"/>
      <c r="U8" s="44"/>
      <c r="V8" s="44"/>
      <c r="W8" s="6"/>
      <c r="X8" s="6"/>
      <c r="Y8" s="6"/>
    </row>
    <row r="9" spans="1:25" x14ac:dyDescent="0.25">
      <c r="G9" s="6"/>
      <c r="H9" s="6"/>
      <c r="I9" s="6"/>
      <c r="L9" s="6"/>
      <c r="M9" s="6"/>
      <c r="N9" s="6"/>
      <c r="P9" s="8" t="s">
        <v>14</v>
      </c>
      <c r="Q9" s="8" t="s">
        <v>26</v>
      </c>
      <c r="S9" s="8" t="s">
        <v>11</v>
      </c>
      <c r="T9" s="8" t="s">
        <v>12</v>
      </c>
      <c r="V9" s="8" t="s">
        <v>30</v>
      </c>
      <c r="W9" s="8" t="s">
        <v>28</v>
      </c>
      <c r="X9" s="8" t="s">
        <v>29</v>
      </c>
    </row>
    <row r="10" spans="1:25" x14ac:dyDescent="0.25">
      <c r="A10" s="28" t="s">
        <v>5</v>
      </c>
      <c r="B10" s="31">
        <f>B6-B7</f>
        <v>215156.25</v>
      </c>
      <c r="C10" s="31">
        <f>C6-C7</f>
        <v>410807.8125</v>
      </c>
      <c r="D10" s="31">
        <f>D6-D7</f>
        <v>453800.25</v>
      </c>
      <c r="F10" s="28" t="s">
        <v>5</v>
      </c>
      <c r="G10" s="31">
        <f>G6-G7</f>
        <v>50375</v>
      </c>
      <c r="H10" s="31">
        <f>H6-H7</f>
        <v>61162.5</v>
      </c>
      <c r="I10" s="31">
        <f>I6-I7</f>
        <v>71662.5</v>
      </c>
      <c r="K10" s="28" t="s">
        <v>5</v>
      </c>
      <c r="L10" s="31">
        <f>L6-L7</f>
        <v>260312.5</v>
      </c>
      <c r="M10" s="31">
        <f>M6-M7</f>
        <v>462265.625</v>
      </c>
      <c r="N10" s="31">
        <f>N6-N7</f>
        <v>506562.5</v>
      </c>
      <c r="P10" s="9" t="s">
        <v>6</v>
      </c>
      <c r="Q10" s="11">
        <v>0.1</v>
      </c>
      <c r="S10" s="17">
        <v>90000</v>
      </c>
      <c r="T10" s="19">
        <v>1.03</v>
      </c>
      <c r="V10" s="9" t="s">
        <v>31</v>
      </c>
      <c r="W10" s="11">
        <v>0.5</v>
      </c>
      <c r="X10" s="10">
        <v>75</v>
      </c>
    </row>
    <row r="11" spans="1:25" x14ac:dyDescent="0.25">
      <c r="A11" s="28" t="s">
        <v>42</v>
      </c>
      <c r="B11" s="28">
        <f>B5/B3 * 1000</f>
        <v>472.5</v>
      </c>
      <c r="C11" s="28">
        <f>C5/C3 * 1000</f>
        <v>446.25</v>
      </c>
      <c r="D11" s="28">
        <f>D5/D3 * 1000</f>
        <v>446.25</v>
      </c>
      <c r="F11" s="28" t="s">
        <v>42</v>
      </c>
      <c r="G11" s="28">
        <f>G5/G3 * 1000</f>
        <v>493.5</v>
      </c>
      <c r="H11" s="28">
        <f>H5/H3 * 1000</f>
        <v>493.5</v>
      </c>
      <c r="I11" s="28">
        <f>I5/I3 * 1000</f>
        <v>493.5</v>
      </c>
      <c r="K11" s="28" t="s">
        <v>42</v>
      </c>
      <c r="L11" s="28">
        <f>(L4-L5)/L3 * 1000</f>
        <v>472.5</v>
      </c>
      <c r="M11" s="28">
        <f>(M4-M5)/M3 * 1000</f>
        <v>446.25</v>
      </c>
      <c r="N11" s="28">
        <f>(N4-N5)/N3 * 1000</f>
        <v>446.25</v>
      </c>
      <c r="P11" s="2" t="s">
        <v>7</v>
      </c>
      <c r="Q11" s="12">
        <v>0.15</v>
      </c>
      <c r="S11" s="1"/>
      <c r="V11" s="7" t="s">
        <v>32</v>
      </c>
      <c r="W11" s="21">
        <v>0.5</v>
      </c>
      <c r="X11" s="22">
        <v>0</v>
      </c>
    </row>
    <row r="12" spans="1:25" x14ac:dyDescent="0.25">
      <c r="P12" s="3" t="s">
        <v>8</v>
      </c>
      <c r="Q12" s="13">
        <v>0.15</v>
      </c>
      <c r="S12" s="1"/>
    </row>
    <row r="15" spans="1:25" ht="48.75" x14ac:dyDescent="0.5">
      <c r="A15" s="43" t="s">
        <v>51</v>
      </c>
      <c r="B15" s="43"/>
      <c r="P15" s="8" t="s">
        <v>16</v>
      </c>
      <c r="Q15" s="14" t="s">
        <v>39</v>
      </c>
      <c r="S15" s="8" t="s">
        <v>18</v>
      </c>
      <c r="T15" s="8" t="s">
        <v>19</v>
      </c>
      <c r="U15" s="8" t="s">
        <v>20</v>
      </c>
      <c r="V15" s="14" t="s">
        <v>33</v>
      </c>
    </row>
    <row r="16" spans="1:25" ht="15.75" thickBot="1" x14ac:dyDescent="0.3">
      <c r="A16" s="38"/>
      <c r="B16" s="38"/>
      <c r="P16" s="9" t="s">
        <v>6</v>
      </c>
      <c r="Q16" s="15">
        <v>115000</v>
      </c>
      <c r="R16" s="1"/>
      <c r="S16" s="18">
        <v>0.15</v>
      </c>
      <c r="T16" s="18">
        <v>0.4</v>
      </c>
      <c r="U16" s="17">
        <v>150</v>
      </c>
      <c r="V16" s="18">
        <v>1</v>
      </c>
    </row>
    <row r="17" spans="1:25" ht="16.5" thickBot="1" x14ac:dyDescent="0.3">
      <c r="A17" s="41" t="s">
        <v>50</v>
      </c>
      <c r="B17" s="42"/>
      <c r="P17" s="2" t="s">
        <v>7</v>
      </c>
      <c r="Q17" s="4">
        <f>Q16*1.05</f>
        <v>120750</v>
      </c>
      <c r="R17" s="4"/>
    </row>
    <row r="18" spans="1:25" x14ac:dyDescent="0.25">
      <c r="A18" s="39" t="s">
        <v>43</v>
      </c>
      <c r="B18" s="29" t="str">
        <f>IF(D11&lt;450, "YES", "NO")</f>
        <v>YES</v>
      </c>
      <c r="P18" s="3" t="s">
        <v>8</v>
      </c>
      <c r="Q18" s="16">
        <f>Q17*1.05</f>
        <v>126787.5</v>
      </c>
      <c r="R18" s="4"/>
    </row>
    <row r="19" spans="1:25" x14ac:dyDescent="0.25">
      <c r="A19" s="40" t="s">
        <v>44</v>
      </c>
      <c r="B19" s="29" t="str">
        <f>IF(I11&lt;450, "YES", "NO")</f>
        <v>NO</v>
      </c>
    </row>
    <row r="20" spans="1:25" x14ac:dyDescent="0.25">
      <c r="A20" s="40" t="s">
        <v>48</v>
      </c>
      <c r="B20" s="29" t="str">
        <f>IF(N11&lt;450, "YES", "NO")</f>
        <v>YES</v>
      </c>
    </row>
    <row r="21" spans="1:25" ht="15.75" thickBot="1" x14ac:dyDescent="0.3">
      <c r="A21" s="38"/>
      <c r="B21" s="38"/>
      <c r="P21" s="44" t="s">
        <v>21</v>
      </c>
      <c r="Q21" s="44"/>
      <c r="R21" s="44"/>
      <c r="S21" s="44"/>
      <c r="T21" s="44"/>
      <c r="U21" s="44"/>
      <c r="V21" s="44"/>
    </row>
    <row r="22" spans="1:25" ht="16.5" thickBot="1" x14ac:dyDescent="0.3">
      <c r="A22" s="41" t="s">
        <v>49</v>
      </c>
      <c r="B22" s="42"/>
      <c r="P22" s="8" t="s">
        <v>16</v>
      </c>
      <c r="Q22" s="8" t="s">
        <v>22</v>
      </c>
      <c r="S22" s="8" t="s">
        <v>23</v>
      </c>
      <c r="T22" s="8" t="s">
        <v>24</v>
      </c>
      <c r="U22" s="8" t="s">
        <v>25</v>
      </c>
      <c r="W22" s="8" t="s">
        <v>35</v>
      </c>
      <c r="X22" s="8" t="s">
        <v>34</v>
      </c>
      <c r="Y22" s="8" t="s">
        <v>27</v>
      </c>
    </row>
    <row r="23" spans="1:25" x14ac:dyDescent="0.25">
      <c r="A23" s="39" t="s">
        <v>43</v>
      </c>
      <c r="B23" s="30">
        <f>SUM(B10:D10)</f>
        <v>1079764.3125</v>
      </c>
      <c r="P23" s="9" t="s">
        <v>6</v>
      </c>
      <c r="Q23" s="11">
        <v>0.1</v>
      </c>
      <c r="S23" s="17">
        <v>10000</v>
      </c>
      <c r="T23" s="17">
        <v>5000</v>
      </c>
      <c r="U23" s="17">
        <v>20000</v>
      </c>
      <c r="W23" s="11" t="s">
        <v>36</v>
      </c>
      <c r="X23" s="11">
        <v>0.3</v>
      </c>
      <c r="Y23" s="10">
        <v>150</v>
      </c>
    </row>
    <row r="24" spans="1:25" x14ac:dyDescent="0.25">
      <c r="A24" s="40" t="s">
        <v>44</v>
      </c>
      <c r="B24" s="30">
        <f>SUM(G10:I10)</f>
        <v>183200</v>
      </c>
      <c r="P24" s="2" t="s">
        <v>7</v>
      </c>
      <c r="Q24" s="12">
        <v>0.15</v>
      </c>
      <c r="W24" s="12" t="s">
        <v>37</v>
      </c>
      <c r="X24" s="12">
        <v>0.4</v>
      </c>
      <c r="Y24" s="1">
        <v>75</v>
      </c>
    </row>
    <row r="25" spans="1:25" x14ac:dyDescent="0.25">
      <c r="A25" s="40" t="s">
        <v>48</v>
      </c>
      <c r="B25" s="30">
        <f>SUM(L10:N10)</f>
        <v>1229140.625</v>
      </c>
      <c r="P25" s="3" t="s">
        <v>8</v>
      </c>
      <c r="Q25" s="13">
        <v>0.15</v>
      </c>
      <c r="W25" s="13" t="s">
        <v>38</v>
      </c>
      <c r="X25" s="13">
        <v>0.3</v>
      </c>
      <c r="Y25" s="5">
        <v>0</v>
      </c>
    </row>
    <row r="35" spans="19:19" x14ac:dyDescent="0.25">
      <c r="S35" t="s">
        <v>41</v>
      </c>
    </row>
  </sheetData>
  <mergeCells count="9">
    <mergeCell ref="A22:B22"/>
    <mergeCell ref="A15:B15"/>
    <mergeCell ref="P8:V8"/>
    <mergeCell ref="P21:V21"/>
    <mergeCell ref="A1:D1"/>
    <mergeCell ref="F1:I1"/>
    <mergeCell ref="K1:N1"/>
    <mergeCell ref="A17:B17"/>
    <mergeCell ref="P1:T1"/>
  </mergeCells>
  <conditionalFormatting sqref="B18:B20">
    <cfRule type="cellIs" dxfId="3" priority="6" operator="equal">
      <formula>"NO"</formula>
    </cfRule>
    <cfRule type="cellIs" dxfId="2" priority="8" operator="equal">
      <formula>"YES"</formula>
    </cfRule>
  </conditionalFormatting>
  <conditionalFormatting sqref="B23:B25">
    <cfRule type="expression" dxfId="1" priority="1">
      <formula>$B23 &lt; MAX($B$23:$B$25)</formula>
    </cfRule>
    <cfRule type="expression" dxfId="0" priority="4">
      <formula>$B23 = MAX($B$23:$B$25)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Study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Schwartz</dc:creator>
  <cp:lastModifiedBy>Jack Schwartz</cp:lastModifiedBy>
  <dcterms:created xsi:type="dcterms:W3CDTF">2025-10-27T19:44:46Z</dcterms:created>
  <dcterms:modified xsi:type="dcterms:W3CDTF">2025-11-03T21:29:14Z</dcterms:modified>
</cp:coreProperties>
</file>