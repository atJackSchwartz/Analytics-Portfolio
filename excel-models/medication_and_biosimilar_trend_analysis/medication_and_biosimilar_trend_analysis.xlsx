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a9bca8de754b386/Desktop/Applied Analytics/Final Project/"/>
    </mc:Choice>
  </mc:AlternateContent>
  <xr:revisionPtr revIDLastSave="667" documentId="11_F25DC773A252ABDACC1048BF695A57DC5BDE58E7" xr6:coauthVersionLast="47" xr6:coauthVersionMax="47" xr10:uidLastSave="{B3CFE94D-2FC1-4129-A8F0-3B7474095963}"/>
  <bookViews>
    <workbookView xWindow="-120" yWindow="-120" windowWidth="29040" windowHeight="15720" activeTab="1" xr2:uid="{00000000-000D-0000-FFFF-FFFF00000000}"/>
  </bookViews>
  <sheets>
    <sheet name="PMPM" sheetId="4" r:id="rId1"/>
    <sheet name="TOP10" sheetId="8" r:id="rId2"/>
    <sheet name="ENTYVIO" sheetId="3" r:id="rId3"/>
    <sheet name="BIOSIM_ANALYSIS" sheetId="10" r:id="rId4"/>
    <sheet name="BIOSIM_2021" sheetId="9" r:id="rId5"/>
    <sheet name="BIOSIM_REF" sheetId="6" r:id="rId6"/>
  </sheets>
  <definedNames>
    <definedName name="_xlnm._FilterDatabase" localSheetId="4" hidden="1">BIOSIM_2021!$A$1:$K$618</definedName>
    <definedName name="_xlnm._FilterDatabase" localSheetId="2" hidden="1">ENTYVIO!$A$23:$W$24</definedName>
    <definedName name="_xlnm._FilterDatabase" localSheetId="0" hidden="1">PMPM!$Q$1:$Y$483</definedName>
    <definedName name="_xlnm._FilterDatabase" localSheetId="1" hidden="1">'TOP10'!$T$1:$Z$618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C9" i="3"/>
  <c r="B9" i="3"/>
  <c r="K7" i="10"/>
  <c r="K10" i="10"/>
  <c r="K16" i="10"/>
  <c r="K19" i="10"/>
  <c r="K21" i="10"/>
  <c r="K22" i="10"/>
  <c r="K26" i="10"/>
  <c r="K29" i="10"/>
  <c r="K3" i="10"/>
  <c r="J4" i="10"/>
  <c r="K4" i="10" s="1"/>
  <c r="J10" i="10"/>
  <c r="J22" i="10"/>
  <c r="I27" i="10"/>
  <c r="J27" i="10" s="1"/>
  <c r="K27" i="10" s="1"/>
  <c r="I28" i="10"/>
  <c r="J28" i="10" s="1"/>
  <c r="K28" i="10" s="1"/>
  <c r="I29" i="10"/>
  <c r="J29" i="10" s="1"/>
  <c r="I30" i="10"/>
  <c r="J30" i="10" s="1"/>
  <c r="K30" i="10" s="1"/>
  <c r="I26" i="10"/>
  <c r="J26" i="10" s="1"/>
  <c r="I23" i="10"/>
  <c r="J23" i="10" s="1"/>
  <c r="K23" i="10" s="1"/>
  <c r="I24" i="10"/>
  <c r="J24" i="10" s="1"/>
  <c r="K24" i="10" s="1"/>
  <c r="I25" i="10"/>
  <c r="J25" i="10" s="1"/>
  <c r="K25" i="10" s="1"/>
  <c r="I22" i="10"/>
  <c r="I20" i="10"/>
  <c r="J20" i="10" s="1"/>
  <c r="K20" i="10" s="1"/>
  <c r="I21" i="10"/>
  <c r="J21" i="10" s="1"/>
  <c r="I18" i="10"/>
  <c r="J18" i="10" s="1"/>
  <c r="K18" i="10" s="1"/>
  <c r="I19" i="10"/>
  <c r="J19" i="10" s="1"/>
  <c r="I15" i="10"/>
  <c r="J15" i="10" s="1"/>
  <c r="K15" i="10" s="1"/>
  <c r="I17" i="10"/>
  <c r="J17" i="10" s="1"/>
  <c r="K17" i="10" s="1"/>
  <c r="I16" i="10"/>
  <c r="J16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0" i="10"/>
  <c r="I7" i="10"/>
  <c r="J7" i="10" s="1"/>
  <c r="I8" i="10"/>
  <c r="J8" i="10" s="1"/>
  <c r="K8" i="10" s="1"/>
  <c r="I9" i="10"/>
  <c r="J9" i="10" s="1"/>
  <c r="K9" i="10" s="1"/>
  <c r="I4" i="10"/>
  <c r="I5" i="10"/>
  <c r="J5" i="10" s="1"/>
  <c r="K5" i="10" s="1"/>
  <c r="I6" i="10"/>
  <c r="J6" i="10" s="1"/>
  <c r="K6" i="10" s="1"/>
  <c r="I3" i="10"/>
  <c r="J3" i="10" s="1"/>
  <c r="H3" i="9"/>
  <c r="H4" i="9"/>
  <c r="H5" i="9"/>
  <c r="H6" i="9"/>
  <c r="H7" i="9"/>
  <c r="H8" i="9"/>
  <c r="H214" i="9"/>
  <c r="H10" i="9"/>
  <c r="H11" i="9"/>
  <c r="H12" i="9"/>
  <c r="H13" i="9"/>
  <c r="H64" i="9"/>
  <c r="H169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231" i="9"/>
  <c r="H39" i="9"/>
  <c r="H40" i="9"/>
  <c r="H41" i="9"/>
  <c r="H42" i="9"/>
  <c r="H43" i="9"/>
  <c r="H44" i="9"/>
  <c r="H260" i="9"/>
  <c r="H46" i="9"/>
  <c r="H9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90" i="9"/>
  <c r="H1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122" i="9"/>
  <c r="H91" i="9"/>
  <c r="H92" i="9"/>
  <c r="H93" i="9"/>
  <c r="H94" i="9"/>
  <c r="H95" i="9"/>
  <c r="H96" i="9"/>
  <c r="H97" i="9"/>
  <c r="H98" i="9"/>
  <c r="H180" i="9"/>
  <c r="H357" i="9"/>
  <c r="H101" i="9"/>
  <c r="H102" i="9"/>
  <c r="H103" i="9"/>
  <c r="H104" i="9"/>
  <c r="H105" i="9"/>
  <c r="H106" i="9"/>
  <c r="H107" i="9"/>
  <c r="H15" i="9"/>
  <c r="H125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203" i="9"/>
  <c r="H123" i="9"/>
  <c r="H124" i="9"/>
  <c r="H38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99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45" i="9"/>
  <c r="H168" i="9"/>
  <c r="H100" i="9"/>
  <c r="H170" i="9"/>
  <c r="H171" i="9"/>
  <c r="H172" i="9"/>
  <c r="H173" i="9"/>
  <c r="H174" i="9"/>
  <c r="H175" i="9"/>
  <c r="H176" i="9"/>
  <c r="H177" i="9"/>
  <c r="H178" i="9"/>
  <c r="H179" i="9"/>
  <c r="H108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554" i="9"/>
  <c r="H204" i="9"/>
  <c r="H205" i="9"/>
  <c r="H47" i="9"/>
  <c r="H207" i="9"/>
  <c r="H208" i="9"/>
  <c r="H209" i="9"/>
  <c r="H210" i="9"/>
  <c r="H211" i="9"/>
  <c r="H212" i="9"/>
  <c r="H213" i="9"/>
  <c r="H206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63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109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150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167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2" i="9"/>
  <c r="G3" i="9"/>
  <c r="G4" i="9"/>
  <c r="G5" i="9"/>
  <c r="G6" i="9"/>
  <c r="G7" i="9"/>
  <c r="G8" i="9"/>
  <c r="G214" i="9"/>
  <c r="G10" i="9"/>
  <c r="G11" i="9"/>
  <c r="G12" i="9"/>
  <c r="G13" i="9"/>
  <c r="G64" i="9"/>
  <c r="G169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231" i="9"/>
  <c r="G39" i="9"/>
  <c r="G40" i="9"/>
  <c r="G41" i="9"/>
  <c r="G42" i="9"/>
  <c r="G43" i="9"/>
  <c r="G44" i="9"/>
  <c r="G260" i="9"/>
  <c r="G46" i="9"/>
  <c r="G9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90" i="9"/>
  <c r="G1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122" i="9"/>
  <c r="G91" i="9"/>
  <c r="G92" i="9"/>
  <c r="G93" i="9"/>
  <c r="G94" i="9"/>
  <c r="G95" i="9"/>
  <c r="G96" i="9"/>
  <c r="G97" i="9"/>
  <c r="G98" i="9"/>
  <c r="G180" i="9"/>
  <c r="G357" i="9"/>
  <c r="G101" i="9"/>
  <c r="G102" i="9"/>
  <c r="G103" i="9"/>
  <c r="G104" i="9"/>
  <c r="G105" i="9"/>
  <c r="G106" i="9"/>
  <c r="G107" i="9"/>
  <c r="G15" i="9"/>
  <c r="G125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203" i="9"/>
  <c r="G123" i="9"/>
  <c r="G124" i="9"/>
  <c r="G38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99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45" i="9"/>
  <c r="G168" i="9"/>
  <c r="G100" i="9"/>
  <c r="G170" i="9"/>
  <c r="G171" i="9"/>
  <c r="G172" i="9"/>
  <c r="G173" i="9"/>
  <c r="G174" i="9"/>
  <c r="G175" i="9"/>
  <c r="G176" i="9"/>
  <c r="G177" i="9"/>
  <c r="G178" i="9"/>
  <c r="G179" i="9"/>
  <c r="G108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554" i="9"/>
  <c r="G204" i="9"/>
  <c r="G205" i="9"/>
  <c r="G47" i="9"/>
  <c r="G207" i="9"/>
  <c r="G208" i="9"/>
  <c r="G209" i="9"/>
  <c r="G210" i="9"/>
  <c r="G211" i="9"/>
  <c r="G212" i="9"/>
  <c r="G213" i="9"/>
  <c r="G206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63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109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150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167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2" i="9"/>
  <c r="F3" i="9"/>
  <c r="F4" i="9"/>
  <c r="F5" i="9"/>
  <c r="F6" i="9"/>
  <c r="F7" i="9"/>
  <c r="F8" i="9"/>
  <c r="F214" i="9"/>
  <c r="F10" i="9"/>
  <c r="F11" i="9"/>
  <c r="F12" i="9"/>
  <c r="F13" i="9"/>
  <c r="F64" i="9"/>
  <c r="F169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231" i="9"/>
  <c r="F39" i="9"/>
  <c r="F40" i="9"/>
  <c r="F41" i="9"/>
  <c r="F42" i="9"/>
  <c r="F43" i="9"/>
  <c r="F44" i="9"/>
  <c r="F260" i="9"/>
  <c r="F46" i="9"/>
  <c r="F9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90" i="9"/>
  <c r="F1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122" i="9"/>
  <c r="F91" i="9"/>
  <c r="F92" i="9"/>
  <c r="F93" i="9"/>
  <c r="F94" i="9"/>
  <c r="F95" i="9"/>
  <c r="F96" i="9"/>
  <c r="F97" i="9"/>
  <c r="F98" i="9"/>
  <c r="F180" i="9"/>
  <c r="F357" i="9"/>
  <c r="F101" i="9"/>
  <c r="F102" i="9"/>
  <c r="F103" i="9"/>
  <c r="F104" i="9"/>
  <c r="F105" i="9"/>
  <c r="F106" i="9"/>
  <c r="F107" i="9"/>
  <c r="F15" i="9"/>
  <c r="F125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203" i="9"/>
  <c r="F123" i="9"/>
  <c r="F124" i="9"/>
  <c r="F38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99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45" i="9"/>
  <c r="F168" i="9"/>
  <c r="F100" i="9"/>
  <c r="F170" i="9"/>
  <c r="F171" i="9"/>
  <c r="F172" i="9"/>
  <c r="F173" i="9"/>
  <c r="F174" i="9"/>
  <c r="F175" i="9"/>
  <c r="F176" i="9"/>
  <c r="F177" i="9"/>
  <c r="F178" i="9"/>
  <c r="F179" i="9"/>
  <c r="F108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554" i="9"/>
  <c r="F204" i="9"/>
  <c r="F205" i="9"/>
  <c r="F47" i="9"/>
  <c r="F207" i="9"/>
  <c r="F208" i="9"/>
  <c r="F209" i="9"/>
  <c r="F210" i="9"/>
  <c r="F211" i="9"/>
  <c r="F212" i="9"/>
  <c r="F213" i="9"/>
  <c r="F206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63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109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150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167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2" i="9"/>
  <c r="Y4" i="8"/>
  <c r="Y6" i="8"/>
  <c r="Y571" i="8"/>
  <c r="Y3" i="8"/>
  <c r="Y608" i="8"/>
  <c r="Y16" i="8"/>
  <c r="Y5" i="8"/>
  <c r="Y8" i="8"/>
  <c r="Y13" i="8"/>
  <c r="Y29" i="8"/>
  <c r="Y11" i="8"/>
  <c r="Y618" i="8"/>
  <c r="Y616" i="8"/>
  <c r="Y30" i="8"/>
  <c r="Y25" i="8"/>
  <c r="Y610" i="8"/>
  <c r="Y74" i="8"/>
  <c r="Y64" i="8"/>
  <c r="Y7" i="8"/>
  <c r="Y65" i="8"/>
  <c r="Y48" i="8"/>
  <c r="Y27" i="8"/>
  <c r="Y77" i="8"/>
  <c r="Y18" i="8"/>
  <c r="Y37" i="8"/>
  <c r="Y617" i="8"/>
  <c r="Y71" i="8"/>
  <c r="Y603" i="8"/>
  <c r="Y9" i="8"/>
  <c r="Y41" i="8"/>
  <c r="Y58" i="8"/>
  <c r="Y50" i="8"/>
  <c r="Y10" i="8"/>
  <c r="Y66" i="8"/>
  <c r="Y52" i="8"/>
  <c r="Y12" i="8"/>
  <c r="Y14" i="8"/>
  <c r="Y15" i="8"/>
  <c r="Y34" i="8"/>
  <c r="Y47" i="8"/>
  <c r="Y68" i="8"/>
  <c r="Y45" i="8"/>
  <c r="Y17" i="8"/>
  <c r="Y592" i="8"/>
  <c r="Y615" i="8"/>
  <c r="Y39" i="8"/>
  <c r="Y36" i="8"/>
  <c r="Y570" i="8"/>
  <c r="Y19" i="8"/>
  <c r="Y20" i="8"/>
  <c r="Y51" i="8"/>
  <c r="Y578" i="8"/>
  <c r="Y21" i="8"/>
  <c r="Y22" i="8"/>
  <c r="Y602" i="8"/>
  <c r="Y23" i="8"/>
  <c r="Y24" i="8"/>
  <c r="Y59" i="8"/>
  <c r="Y81" i="8"/>
  <c r="Y40" i="8"/>
  <c r="Y26" i="8"/>
  <c r="Y28" i="8"/>
  <c r="Y73" i="8"/>
  <c r="Y555" i="8"/>
  <c r="Y31" i="8"/>
  <c r="Y585" i="8"/>
  <c r="Y32" i="8"/>
  <c r="Y595" i="8"/>
  <c r="Y63" i="8"/>
  <c r="Y596" i="8"/>
  <c r="Y33" i="8"/>
  <c r="Y67" i="8"/>
  <c r="Y121" i="8"/>
  <c r="Y89" i="8"/>
  <c r="Y614" i="8"/>
  <c r="Y609" i="8"/>
  <c r="Y97" i="8"/>
  <c r="Y98" i="8"/>
  <c r="Y35" i="8"/>
  <c r="Y49" i="8"/>
  <c r="Y95" i="8"/>
  <c r="Y605" i="8"/>
  <c r="Y112" i="8"/>
  <c r="Y612" i="8"/>
  <c r="Y102" i="8"/>
  <c r="Y38" i="8"/>
  <c r="Y42" i="8"/>
  <c r="Y43" i="8"/>
  <c r="Y84" i="8"/>
  <c r="Y44" i="8"/>
  <c r="Y46" i="8"/>
  <c r="Y78" i="8"/>
  <c r="Y69" i="8"/>
  <c r="Y599" i="8"/>
  <c r="Y57" i="8"/>
  <c r="Y76" i="8"/>
  <c r="Y118" i="8"/>
  <c r="Y53" i="8"/>
  <c r="Y96" i="8"/>
  <c r="Y54" i="8"/>
  <c r="Y597" i="8"/>
  <c r="Y101" i="8"/>
  <c r="Y55" i="8"/>
  <c r="Y553" i="8"/>
  <c r="Y160" i="8"/>
  <c r="Y56" i="8"/>
  <c r="Y613" i="8"/>
  <c r="Y106" i="8"/>
  <c r="Y60" i="8"/>
  <c r="Y120" i="8"/>
  <c r="Y61" i="8"/>
  <c r="Y147" i="8"/>
  <c r="Y90" i="8"/>
  <c r="Y606" i="8"/>
  <c r="Y494" i="8"/>
  <c r="Y62" i="8"/>
  <c r="Y562" i="8"/>
  <c r="Y142" i="8"/>
  <c r="Y569" i="8"/>
  <c r="Y72" i="8"/>
  <c r="Y560" i="8"/>
  <c r="Y577" i="8"/>
  <c r="Y70" i="8"/>
  <c r="Y91" i="8"/>
  <c r="Y556" i="8"/>
  <c r="Y75" i="8"/>
  <c r="Y586" i="8"/>
  <c r="Y581" i="8"/>
  <c r="Y141" i="8"/>
  <c r="Y520" i="8"/>
  <c r="Y573" i="8"/>
  <c r="Y576" i="8"/>
  <c r="Y79" i="8"/>
  <c r="Y591" i="8"/>
  <c r="Y582" i="8"/>
  <c r="Y80" i="8"/>
  <c r="Y82" i="8"/>
  <c r="Y134" i="8"/>
  <c r="Y83" i="8"/>
  <c r="Y574" i="8"/>
  <c r="Y588" i="8"/>
  <c r="Y210" i="8"/>
  <c r="Y85" i="8"/>
  <c r="Y108" i="8"/>
  <c r="Y86" i="8"/>
  <c r="Y145" i="8"/>
  <c r="Y575" i="8"/>
  <c r="Y87" i="8"/>
  <c r="Y88" i="8"/>
  <c r="Y92" i="8"/>
  <c r="Y93" i="8"/>
  <c r="Y94" i="8"/>
  <c r="Y129" i="8"/>
  <c r="Y604" i="8"/>
  <c r="Y99" i="8"/>
  <c r="Y151" i="8"/>
  <c r="Y140" i="8"/>
  <c r="Y100" i="8"/>
  <c r="Y143" i="8"/>
  <c r="Y479" i="8"/>
  <c r="Y180" i="8"/>
  <c r="Y153" i="8"/>
  <c r="Y584" i="8"/>
  <c r="Y593" i="8"/>
  <c r="Y103" i="8"/>
  <c r="Y127" i="8"/>
  <c r="Y583" i="8"/>
  <c r="Y225" i="8"/>
  <c r="Y589" i="8"/>
  <c r="Y174" i="8"/>
  <c r="Y182" i="8"/>
  <c r="Y104" i="8"/>
  <c r="Y557" i="8"/>
  <c r="Y590" i="8"/>
  <c r="Y105" i="8"/>
  <c r="Y523" i="8"/>
  <c r="Y107" i="8"/>
  <c r="Y587" i="8"/>
  <c r="Y190" i="8"/>
  <c r="Y544" i="8"/>
  <c r="Y600" i="8"/>
  <c r="Y548" i="8"/>
  <c r="Y133" i="8"/>
  <c r="Y558" i="8"/>
  <c r="Y111" i="8"/>
  <c r="Y109" i="8"/>
  <c r="Y110" i="8"/>
  <c r="Y607" i="8"/>
  <c r="Y155" i="8"/>
  <c r="Y113" i="8"/>
  <c r="Y526" i="8"/>
  <c r="Y550" i="8"/>
  <c r="Y114" i="8"/>
  <c r="Y115" i="8"/>
  <c r="Y154" i="8"/>
  <c r="Y116" i="8"/>
  <c r="Y551" i="8"/>
  <c r="Z551" i="8" s="1"/>
  <c r="Y563" i="8"/>
  <c r="Y117" i="8"/>
  <c r="Y152" i="8"/>
  <c r="Y119" i="8"/>
  <c r="Y194" i="8"/>
  <c r="Y486" i="8"/>
  <c r="Y122" i="8"/>
  <c r="Y485" i="8"/>
  <c r="Y537" i="8"/>
  <c r="Y554" i="8"/>
  <c r="Y123" i="8"/>
  <c r="Y124" i="8"/>
  <c r="Y171" i="8"/>
  <c r="Y522" i="8"/>
  <c r="Y125" i="8"/>
  <c r="Y183" i="8"/>
  <c r="Y126" i="8"/>
  <c r="Y188" i="8"/>
  <c r="Y529" i="8"/>
  <c r="Y220" i="8"/>
  <c r="Y542" i="8"/>
  <c r="Y539" i="8"/>
  <c r="Y540" i="8"/>
  <c r="Y481" i="8"/>
  <c r="Y566" i="8"/>
  <c r="Y128" i="8"/>
  <c r="Y517" i="8"/>
  <c r="Y130" i="8"/>
  <c r="Y545" i="8"/>
  <c r="Y212" i="8"/>
  <c r="Y131" i="8"/>
  <c r="Y132" i="8"/>
  <c r="Y532" i="8"/>
  <c r="Y244" i="8"/>
  <c r="Y197" i="8"/>
  <c r="Y159" i="8"/>
  <c r="Y559" i="8"/>
  <c r="Y611" i="8"/>
  <c r="Y135" i="8"/>
  <c r="Y137" i="8"/>
  <c r="Y198" i="8"/>
  <c r="Y136" i="8"/>
  <c r="Y173" i="8"/>
  <c r="Y138" i="8"/>
  <c r="Y568" i="8"/>
  <c r="Y139" i="8"/>
  <c r="Y165" i="8"/>
  <c r="Y518" i="8"/>
  <c r="Y144" i="8"/>
  <c r="Y164" i="8"/>
  <c r="Y519" i="8"/>
  <c r="Y594" i="8"/>
  <c r="Y192" i="8"/>
  <c r="Y146" i="8"/>
  <c r="Y148" i="8"/>
  <c r="Y546" i="8"/>
  <c r="Y216" i="8"/>
  <c r="Y561" i="8"/>
  <c r="Y149" i="8"/>
  <c r="Y497" i="8"/>
  <c r="Y150" i="8"/>
  <c r="Y541" i="8"/>
  <c r="Y199" i="8"/>
  <c r="Y601" i="8"/>
  <c r="Y564" i="8"/>
  <c r="Y598" i="8"/>
  <c r="Y499" i="8"/>
  <c r="Y478" i="8"/>
  <c r="Y538" i="8"/>
  <c r="Y202" i="8"/>
  <c r="Y547" i="8"/>
  <c r="Y503" i="8"/>
  <c r="Y535" i="8"/>
  <c r="Y552" i="8"/>
  <c r="Y498" i="8"/>
  <c r="Y161" i="8"/>
  <c r="Y156" i="8"/>
  <c r="Y157" i="8"/>
  <c r="Y229" i="8"/>
  <c r="Y217" i="8"/>
  <c r="Y187" i="8"/>
  <c r="Y543" i="8"/>
  <c r="Y158" i="8"/>
  <c r="Y483" i="8"/>
  <c r="Y162" i="8"/>
  <c r="Y200" i="8"/>
  <c r="Y579" i="8"/>
  <c r="Y163" i="8"/>
  <c r="Y530" i="8"/>
  <c r="Y506" i="8"/>
  <c r="Y534" i="8"/>
  <c r="Y168" i="8"/>
  <c r="Y521" i="8"/>
  <c r="Y580" i="8"/>
  <c r="Y567" i="8"/>
  <c r="Y508" i="8"/>
  <c r="Y524" i="8"/>
  <c r="Y166" i="8"/>
  <c r="Y232" i="8"/>
  <c r="Y527" i="8"/>
  <c r="Y528" i="8"/>
  <c r="Y234" i="8"/>
  <c r="Y228" i="8"/>
  <c r="Y264" i="8"/>
  <c r="Y510" i="8"/>
  <c r="Y167" i="8"/>
  <c r="Y536" i="8"/>
  <c r="Y509" i="8"/>
  <c r="Y170" i="8"/>
  <c r="Y209" i="8"/>
  <c r="Y169" i="8"/>
  <c r="Y496" i="8"/>
  <c r="Z496" i="8" s="1"/>
  <c r="Y403" i="8"/>
  <c r="Y451" i="8"/>
  <c r="Y205" i="8"/>
  <c r="Y254" i="8"/>
  <c r="Y219" i="8"/>
  <c r="Y238" i="8"/>
  <c r="Y515" i="8"/>
  <c r="Y502" i="8"/>
  <c r="Y176" i="8"/>
  <c r="Y449" i="8"/>
  <c r="Y189" i="8"/>
  <c r="Y213" i="8"/>
  <c r="Y172" i="8"/>
  <c r="Y203" i="8"/>
  <c r="Y177" i="8"/>
  <c r="Y477" i="8"/>
  <c r="Y175" i="8"/>
  <c r="Y565" i="8"/>
  <c r="Y208" i="8"/>
  <c r="Y178" i="8"/>
  <c r="Y179" i="8"/>
  <c r="Y424" i="8"/>
  <c r="Y181" i="8"/>
  <c r="Y489" i="8"/>
  <c r="Y493" i="8"/>
  <c r="Y504" i="8"/>
  <c r="Y487" i="8"/>
  <c r="Y466" i="8"/>
  <c r="Y516" i="8"/>
  <c r="Y184" i="8"/>
  <c r="Y223" i="8"/>
  <c r="Y505" i="8"/>
  <c r="Y185" i="8"/>
  <c r="Y514" i="8"/>
  <c r="Y480" i="8"/>
  <c r="Y500" i="8"/>
  <c r="Y186" i="8"/>
  <c r="Y276" i="8"/>
  <c r="Y222" i="8"/>
  <c r="Y383" i="8"/>
  <c r="Y484" i="8"/>
  <c r="Y191" i="8"/>
  <c r="Y251" i="8"/>
  <c r="Y193" i="8"/>
  <c r="Y266" i="8"/>
  <c r="Y195" i="8"/>
  <c r="Y241" i="8"/>
  <c r="Y196" i="8"/>
  <c r="Y475" i="8"/>
  <c r="Y525" i="8"/>
  <c r="Y237" i="8"/>
  <c r="Y227" i="8"/>
  <c r="Y469" i="8"/>
  <c r="Y501" i="8"/>
  <c r="Y468" i="8"/>
  <c r="Y495" i="8"/>
  <c r="Y201" i="8"/>
  <c r="Y507" i="8"/>
  <c r="Y474" i="8"/>
  <c r="Y204" i="8"/>
  <c r="Y434" i="8"/>
  <c r="Y206" i="8"/>
  <c r="Y572" i="8"/>
  <c r="Y243" i="8"/>
  <c r="Y207" i="8"/>
  <c r="Y432" i="8"/>
  <c r="Y448" i="8"/>
  <c r="Y211" i="8"/>
  <c r="Y476" i="8"/>
  <c r="Y214" i="8"/>
  <c r="Y482" i="8"/>
  <c r="Y218" i="8"/>
  <c r="Y221" i="8"/>
  <c r="Y257" i="8"/>
  <c r="Y444" i="8"/>
  <c r="Y462" i="8"/>
  <c r="Y470" i="8"/>
  <c r="Y438" i="8"/>
  <c r="Y215" i="8"/>
  <c r="Y450" i="8"/>
  <c r="Y437" i="8"/>
  <c r="Y235" i="8"/>
  <c r="Y447" i="8"/>
  <c r="Y245" i="8"/>
  <c r="Y453" i="8"/>
  <c r="Y418" i="8"/>
  <c r="Y242" i="8"/>
  <c r="Y249" i="8"/>
  <c r="Y306" i="8"/>
  <c r="Y464" i="8"/>
  <c r="Y446" i="8"/>
  <c r="Y246" i="8"/>
  <c r="Y463" i="8"/>
  <c r="Y428" i="8"/>
  <c r="Y467" i="8"/>
  <c r="Y511" i="8"/>
  <c r="Y452" i="8"/>
  <c r="Y293" i="8"/>
  <c r="Y549" i="8"/>
  <c r="Y465" i="8"/>
  <c r="Y224" i="8"/>
  <c r="Y226" i="8"/>
  <c r="Y445" i="8"/>
  <c r="Y419" i="8"/>
  <c r="Y256" i="8"/>
  <c r="Y366" i="8"/>
  <c r="Y255" i="8"/>
  <c r="Y533" i="8"/>
  <c r="Y433" i="8"/>
  <c r="Y430" i="8"/>
  <c r="Y423" i="8"/>
  <c r="Y488" i="8"/>
  <c r="Y230" i="8"/>
  <c r="Y472" i="8"/>
  <c r="Y396" i="8"/>
  <c r="Y440" i="8"/>
  <c r="Y231" i="8"/>
  <c r="Y513" i="8"/>
  <c r="Y315" i="8"/>
  <c r="Y233" i="8"/>
  <c r="Y455" i="8"/>
  <c r="Y473" i="8"/>
  <c r="Y456" i="8"/>
  <c r="Y236" i="8"/>
  <c r="Y364" i="8"/>
  <c r="Y422" i="8"/>
  <c r="Y261" i="8"/>
  <c r="Y273" i="8"/>
  <c r="Y239" i="8"/>
  <c r="Y260" i="8"/>
  <c r="Y392" i="8"/>
  <c r="Y295" i="8"/>
  <c r="Y308" i="8"/>
  <c r="Y361" i="8"/>
  <c r="Y240" i="8"/>
  <c r="Y412" i="8"/>
  <c r="Y531" i="8"/>
  <c r="Y262" i="8"/>
  <c r="Y259" i="8"/>
  <c r="Y250" i="8"/>
  <c r="Y248" i="8"/>
  <c r="Y291" i="8"/>
  <c r="Y436" i="8"/>
  <c r="Y271" i="8"/>
  <c r="Y247" i="8"/>
  <c r="Y370" i="8"/>
  <c r="Y263" i="8"/>
  <c r="Y443" i="8"/>
  <c r="Y377" i="8"/>
  <c r="Y252" i="8"/>
  <c r="Y413" i="8"/>
  <c r="Y368" i="8"/>
  <c r="Y459" i="8"/>
  <c r="Y365" i="8"/>
  <c r="Y253" i="8"/>
  <c r="Y454" i="8"/>
  <c r="Y414" i="8"/>
  <c r="Y351" i="8"/>
  <c r="Y416" i="8"/>
  <c r="Y376" i="8"/>
  <c r="Y381" i="8"/>
  <c r="Y287" i="8"/>
  <c r="Y375" i="8"/>
  <c r="Y339" i="8"/>
  <c r="Y421" i="8"/>
  <c r="Y407" i="8"/>
  <c r="Y258" i="8"/>
  <c r="Y425" i="8"/>
  <c r="Y362" i="8"/>
  <c r="Y372" i="8"/>
  <c r="Y379" i="8"/>
  <c r="Y289" i="8"/>
  <c r="Y270" i="8"/>
  <c r="Y280" i="8"/>
  <c r="Y389" i="8"/>
  <c r="Y491" i="8"/>
  <c r="Y435" i="8"/>
  <c r="Y411" i="8"/>
  <c r="Y277" i="8"/>
  <c r="Y457" i="8"/>
  <c r="Y420" i="8"/>
  <c r="Y490" i="8"/>
  <c r="Y402" i="8"/>
  <c r="Y400" i="8"/>
  <c r="Y348" i="8"/>
  <c r="Y265" i="8"/>
  <c r="Y311" i="8"/>
  <c r="Y398" i="8"/>
  <c r="Y471" i="8"/>
  <c r="Y333" i="8"/>
  <c r="Y417" i="8"/>
  <c r="Y460" i="8"/>
  <c r="Y299" i="8"/>
  <c r="Y399" i="8"/>
  <c r="Y269" i="8"/>
  <c r="Y281" i="8"/>
  <c r="Y371" i="8"/>
  <c r="Y401" i="8"/>
  <c r="Y426" i="8"/>
  <c r="Y441" i="8"/>
  <c r="Y431" i="8"/>
  <c r="Y397" i="8"/>
  <c r="Y363" i="8"/>
  <c r="Y267" i="8"/>
  <c r="Y268" i="8"/>
  <c r="Y415" i="8"/>
  <c r="Y279" i="8"/>
  <c r="Y274" i="8"/>
  <c r="Y285" i="8"/>
  <c r="Y272" i="8"/>
  <c r="Y290" i="8"/>
  <c r="Y409" i="8"/>
  <c r="Y374" i="8"/>
  <c r="Y355" i="8"/>
  <c r="Y352" i="8"/>
  <c r="Y427" i="8"/>
  <c r="Y275" i="8"/>
  <c r="Y284" i="8"/>
  <c r="Y458" i="8"/>
  <c r="Y288" i="8"/>
  <c r="Y439" i="8"/>
  <c r="Y367" i="8"/>
  <c r="Y492" i="8"/>
  <c r="Y282" i="8"/>
  <c r="Y385" i="8"/>
  <c r="Y442" i="8"/>
  <c r="Y410" i="8"/>
  <c r="Y347" i="8"/>
  <c r="Y386" i="8"/>
  <c r="Y278" i="8"/>
  <c r="Y512" i="8"/>
  <c r="Y360" i="8"/>
  <c r="Y307" i="8"/>
  <c r="Y312" i="8"/>
  <c r="Y328" i="8"/>
  <c r="Y406" i="8"/>
  <c r="Y358" i="8"/>
  <c r="Y393" i="8"/>
  <c r="Y391" i="8"/>
  <c r="Y286" i="8"/>
  <c r="Y408" i="8"/>
  <c r="Y369" i="8"/>
  <c r="Y327" i="8"/>
  <c r="Y296" i="8"/>
  <c r="Y283" i="8"/>
  <c r="Y342" i="8"/>
  <c r="Y461" i="8"/>
  <c r="Y297" i="8"/>
  <c r="Y302" i="8"/>
  <c r="Y356" i="8"/>
  <c r="Y330" i="8"/>
  <c r="Y405" i="8"/>
  <c r="Y294" i="8"/>
  <c r="Y304" i="8"/>
  <c r="Y341" i="8"/>
  <c r="Y394" i="8"/>
  <c r="Y305" i="8"/>
  <c r="Y395" i="8"/>
  <c r="Y390" i="8"/>
  <c r="Y292" i="8"/>
  <c r="Y357" i="8"/>
  <c r="Y338" i="8"/>
  <c r="Y344" i="8"/>
  <c r="Y314" i="8"/>
  <c r="Y404" i="8"/>
  <c r="Y345" i="8"/>
  <c r="Y301" i="8"/>
  <c r="Y387" i="8"/>
  <c r="Y373" i="8"/>
  <c r="Y384" i="8"/>
  <c r="Y353" i="8"/>
  <c r="Y382" i="8"/>
  <c r="Y429" i="8"/>
  <c r="Y378" i="8"/>
  <c r="Y303" i="8"/>
  <c r="Y324" i="8"/>
  <c r="Y298" i="8"/>
  <c r="Y343" i="8"/>
  <c r="Y313" i="8"/>
  <c r="Y300" i="8"/>
  <c r="Y388" i="8"/>
  <c r="Y309" i="8"/>
  <c r="Y329" i="8"/>
  <c r="Y320" i="8"/>
  <c r="Y354" i="8"/>
  <c r="Y380" i="8"/>
  <c r="Y346" i="8"/>
  <c r="Y336" i="8"/>
  <c r="Y359" i="8"/>
  <c r="Y310" i="8"/>
  <c r="Y349" i="8"/>
  <c r="Y335" i="8"/>
  <c r="Y337" i="8"/>
  <c r="Y331" i="8"/>
  <c r="Y316" i="8"/>
  <c r="Y340" i="8"/>
  <c r="Y323" i="8"/>
  <c r="Y322" i="8"/>
  <c r="Y325" i="8"/>
  <c r="Y317" i="8"/>
  <c r="Y318" i="8"/>
  <c r="Y319" i="8"/>
  <c r="Y326" i="8"/>
  <c r="Y332" i="8"/>
  <c r="Y350" i="8"/>
  <c r="Y334" i="8"/>
  <c r="Y321" i="8"/>
  <c r="Y2" i="8"/>
  <c r="X4" i="8"/>
  <c r="X6" i="8"/>
  <c r="X571" i="8"/>
  <c r="X3" i="8"/>
  <c r="X608" i="8"/>
  <c r="X16" i="8"/>
  <c r="X5" i="8"/>
  <c r="X8" i="8"/>
  <c r="X13" i="8"/>
  <c r="X29" i="8"/>
  <c r="X11" i="8"/>
  <c r="X618" i="8"/>
  <c r="X616" i="8"/>
  <c r="X30" i="8"/>
  <c r="X25" i="8"/>
  <c r="X610" i="8"/>
  <c r="X74" i="8"/>
  <c r="X64" i="8"/>
  <c r="X7" i="8"/>
  <c r="X65" i="8"/>
  <c r="X48" i="8"/>
  <c r="X27" i="8"/>
  <c r="X77" i="8"/>
  <c r="X18" i="8"/>
  <c r="X37" i="8"/>
  <c r="X617" i="8"/>
  <c r="X71" i="8"/>
  <c r="X603" i="8"/>
  <c r="X9" i="8"/>
  <c r="X41" i="8"/>
  <c r="X58" i="8"/>
  <c r="X50" i="8"/>
  <c r="X10" i="8"/>
  <c r="X66" i="8"/>
  <c r="X52" i="8"/>
  <c r="X12" i="8"/>
  <c r="X14" i="8"/>
  <c r="X15" i="8"/>
  <c r="X34" i="8"/>
  <c r="X47" i="8"/>
  <c r="X68" i="8"/>
  <c r="X45" i="8"/>
  <c r="X17" i="8"/>
  <c r="X592" i="8"/>
  <c r="X615" i="8"/>
  <c r="X39" i="8"/>
  <c r="X36" i="8"/>
  <c r="X570" i="8"/>
  <c r="X19" i="8"/>
  <c r="X20" i="8"/>
  <c r="X51" i="8"/>
  <c r="X578" i="8"/>
  <c r="X21" i="8"/>
  <c r="X22" i="8"/>
  <c r="X602" i="8"/>
  <c r="X23" i="8"/>
  <c r="X24" i="8"/>
  <c r="X59" i="8"/>
  <c r="X81" i="8"/>
  <c r="X40" i="8"/>
  <c r="X26" i="8"/>
  <c r="X28" i="8"/>
  <c r="X73" i="8"/>
  <c r="X555" i="8"/>
  <c r="X31" i="8"/>
  <c r="X585" i="8"/>
  <c r="X32" i="8"/>
  <c r="X595" i="8"/>
  <c r="X63" i="8"/>
  <c r="X596" i="8"/>
  <c r="X33" i="8"/>
  <c r="X67" i="8"/>
  <c r="X121" i="8"/>
  <c r="X89" i="8"/>
  <c r="X614" i="8"/>
  <c r="X609" i="8"/>
  <c r="X97" i="8"/>
  <c r="X98" i="8"/>
  <c r="X35" i="8"/>
  <c r="X49" i="8"/>
  <c r="X95" i="8"/>
  <c r="X605" i="8"/>
  <c r="X112" i="8"/>
  <c r="X612" i="8"/>
  <c r="X102" i="8"/>
  <c r="X38" i="8"/>
  <c r="X42" i="8"/>
  <c r="X43" i="8"/>
  <c r="X84" i="8"/>
  <c r="X44" i="8"/>
  <c r="X46" i="8"/>
  <c r="X78" i="8"/>
  <c r="X69" i="8"/>
  <c r="X599" i="8"/>
  <c r="X57" i="8"/>
  <c r="X76" i="8"/>
  <c r="X118" i="8"/>
  <c r="X53" i="8"/>
  <c r="X96" i="8"/>
  <c r="X54" i="8"/>
  <c r="X597" i="8"/>
  <c r="X101" i="8"/>
  <c r="X55" i="8"/>
  <c r="X553" i="8"/>
  <c r="X160" i="8"/>
  <c r="X56" i="8"/>
  <c r="X613" i="8"/>
  <c r="X106" i="8"/>
  <c r="X60" i="8"/>
  <c r="X120" i="8"/>
  <c r="X61" i="8"/>
  <c r="X147" i="8"/>
  <c r="X90" i="8"/>
  <c r="X606" i="8"/>
  <c r="X494" i="8"/>
  <c r="X62" i="8"/>
  <c r="X562" i="8"/>
  <c r="X142" i="8"/>
  <c r="X569" i="8"/>
  <c r="X72" i="8"/>
  <c r="X560" i="8"/>
  <c r="X577" i="8"/>
  <c r="X70" i="8"/>
  <c r="X91" i="8"/>
  <c r="X556" i="8"/>
  <c r="X75" i="8"/>
  <c r="X586" i="8"/>
  <c r="X581" i="8"/>
  <c r="X141" i="8"/>
  <c r="X520" i="8"/>
  <c r="X573" i="8"/>
  <c r="X576" i="8"/>
  <c r="X79" i="8"/>
  <c r="X591" i="8"/>
  <c r="X582" i="8"/>
  <c r="X80" i="8"/>
  <c r="X82" i="8"/>
  <c r="X134" i="8"/>
  <c r="X83" i="8"/>
  <c r="X574" i="8"/>
  <c r="X588" i="8"/>
  <c r="X210" i="8"/>
  <c r="X85" i="8"/>
  <c r="X108" i="8"/>
  <c r="X86" i="8"/>
  <c r="X145" i="8"/>
  <c r="X575" i="8"/>
  <c r="X87" i="8"/>
  <c r="X88" i="8"/>
  <c r="X92" i="8"/>
  <c r="X93" i="8"/>
  <c r="X94" i="8"/>
  <c r="X129" i="8"/>
  <c r="X604" i="8"/>
  <c r="X99" i="8"/>
  <c r="X151" i="8"/>
  <c r="X140" i="8"/>
  <c r="X100" i="8"/>
  <c r="X143" i="8"/>
  <c r="X479" i="8"/>
  <c r="X180" i="8"/>
  <c r="X153" i="8"/>
  <c r="X584" i="8"/>
  <c r="X593" i="8"/>
  <c r="X103" i="8"/>
  <c r="X127" i="8"/>
  <c r="X583" i="8"/>
  <c r="X225" i="8"/>
  <c r="X589" i="8"/>
  <c r="X174" i="8"/>
  <c r="X182" i="8"/>
  <c r="X104" i="8"/>
  <c r="X557" i="8"/>
  <c r="X590" i="8"/>
  <c r="X105" i="8"/>
  <c r="X523" i="8"/>
  <c r="X107" i="8"/>
  <c r="X587" i="8"/>
  <c r="X190" i="8"/>
  <c r="X544" i="8"/>
  <c r="X600" i="8"/>
  <c r="X548" i="8"/>
  <c r="X133" i="8"/>
  <c r="X558" i="8"/>
  <c r="X111" i="8"/>
  <c r="X109" i="8"/>
  <c r="X110" i="8"/>
  <c r="X607" i="8"/>
  <c r="X155" i="8"/>
  <c r="X113" i="8"/>
  <c r="X526" i="8"/>
  <c r="X550" i="8"/>
  <c r="X114" i="8"/>
  <c r="X115" i="8"/>
  <c r="X154" i="8"/>
  <c r="X116" i="8"/>
  <c r="X551" i="8"/>
  <c r="X563" i="8"/>
  <c r="X117" i="8"/>
  <c r="X152" i="8"/>
  <c r="X119" i="8"/>
  <c r="X194" i="8"/>
  <c r="X486" i="8"/>
  <c r="X122" i="8"/>
  <c r="X485" i="8"/>
  <c r="X537" i="8"/>
  <c r="X554" i="8"/>
  <c r="X123" i="8"/>
  <c r="X124" i="8"/>
  <c r="X171" i="8"/>
  <c r="X522" i="8"/>
  <c r="X125" i="8"/>
  <c r="X183" i="8"/>
  <c r="X126" i="8"/>
  <c r="X188" i="8"/>
  <c r="X529" i="8"/>
  <c r="X220" i="8"/>
  <c r="X542" i="8"/>
  <c r="X539" i="8"/>
  <c r="X540" i="8"/>
  <c r="X481" i="8"/>
  <c r="X566" i="8"/>
  <c r="X128" i="8"/>
  <c r="X517" i="8"/>
  <c r="X130" i="8"/>
  <c r="X545" i="8"/>
  <c r="X212" i="8"/>
  <c r="X131" i="8"/>
  <c r="X132" i="8"/>
  <c r="X532" i="8"/>
  <c r="X244" i="8"/>
  <c r="X197" i="8"/>
  <c r="X159" i="8"/>
  <c r="X559" i="8"/>
  <c r="X611" i="8"/>
  <c r="X135" i="8"/>
  <c r="X137" i="8"/>
  <c r="X198" i="8"/>
  <c r="X136" i="8"/>
  <c r="X173" i="8"/>
  <c r="X138" i="8"/>
  <c r="X568" i="8"/>
  <c r="X139" i="8"/>
  <c r="X165" i="8"/>
  <c r="X518" i="8"/>
  <c r="X144" i="8"/>
  <c r="X164" i="8"/>
  <c r="X519" i="8"/>
  <c r="X594" i="8"/>
  <c r="X192" i="8"/>
  <c r="X146" i="8"/>
  <c r="X148" i="8"/>
  <c r="X546" i="8"/>
  <c r="X216" i="8"/>
  <c r="X561" i="8"/>
  <c r="X149" i="8"/>
  <c r="X497" i="8"/>
  <c r="X150" i="8"/>
  <c r="X541" i="8"/>
  <c r="X199" i="8"/>
  <c r="X601" i="8"/>
  <c r="X564" i="8"/>
  <c r="X598" i="8"/>
  <c r="X499" i="8"/>
  <c r="X478" i="8"/>
  <c r="X538" i="8"/>
  <c r="X202" i="8"/>
  <c r="X547" i="8"/>
  <c r="X503" i="8"/>
  <c r="X535" i="8"/>
  <c r="X552" i="8"/>
  <c r="X498" i="8"/>
  <c r="X161" i="8"/>
  <c r="X156" i="8"/>
  <c r="X157" i="8"/>
  <c r="X229" i="8"/>
  <c r="X217" i="8"/>
  <c r="X187" i="8"/>
  <c r="X543" i="8"/>
  <c r="X158" i="8"/>
  <c r="X483" i="8"/>
  <c r="X162" i="8"/>
  <c r="X200" i="8"/>
  <c r="X579" i="8"/>
  <c r="X163" i="8"/>
  <c r="X530" i="8"/>
  <c r="X506" i="8"/>
  <c r="X534" i="8"/>
  <c r="X168" i="8"/>
  <c r="X521" i="8"/>
  <c r="X580" i="8"/>
  <c r="X567" i="8"/>
  <c r="X508" i="8"/>
  <c r="X524" i="8"/>
  <c r="X166" i="8"/>
  <c r="X232" i="8"/>
  <c r="X527" i="8"/>
  <c r="X528" i="8"/>
  <c r="X234" i="8"/>
  <c r="X228" i="8"/>
  <c r="X264" i="8"/>
  <c r="X510" i="8"/>
  <c r="X167" i="8"/>
  <c r="X536" i="8"/>
  <c r="X509" i="8"/>
  <c r="X170" i="8"/>
  <c r="X209" i="8"/>
  <c r="X169" i="8"/>
  <c r="X496" i="8"/>
  <c r="X403" i="8"/>
  <c r="X451" i="8"/>
  <c r="X205" i="8"/>
  <c r="X254" i="8"/>
  <c r="X219" i="8"/>
  <c r="X238" i="8"/>
  <c r="X515" i="8"/>
  <c r="X502" i="8"/>
  <c r="X176" i="8"/>
  <c r="X449" i="8"/>
  <c r="X189" i="8"/>
  <c r="X213" i="8"/>
  <c r="X172" i="8"/>
  <c r="X203" i="8"/>
  <c r="X177" i="8"/>
  <c r="X477" i="8"/>
  <c r="X175" i="8"/>
  <c r="X565" i="8"/>
  <c r="X208" i="8"/>
  <c r="X178" i="8"/>
  <c r="X179" i="8"/>
  <c r="X424" i="8"/>
  <c r="X181" i="8"/>
  <c r="X489" i="8"/>
  <c r="X493" i="8"/>
  <c r="X504" i="8"/>
  <c r="X487" i="8"/>
  <c r="X466" i="8"/>
  <c r="X516" i="8"/>
  <c r="X184" i="8"/>
  <c r="X223" i="8"/>
  <c r="X505" i="8"/>
  <c r="X185" i="8"/>
  <c r="X514" i="8"/>
  <c r="X480" i="8"/>
  <c r="X500" i="8"/>
  <c r="X186" i="8"/>
  <c r="X276" i="8"/>
  <c r="X222" i="8"/>
  <c r="X383" i="8"/>
  <c r="X484" i="8"/>
  <c r="X191" i="8"/>
  <c r="X251" i="8"/>
  <c r="X193" i="8"/>
  <c r="X266" i="8"/>
  <c r="X195" i="8"/>
  <c r="X241" i="8"/>
  <c r="X196" i="8"/>
  <c r="X475" i="8"/>
  <c r="X525" i="8"/>
  <c r="X237" i="8"/>
  <c r="X227" i="8"/>
  <c r="X469" i="8"/>
  <c r="X501" i="8"/>
  <c r="X468" i="8"/>
  <c r="X495" i="8"/>
  <c r="X201" i="8"/>
  <c r="X507" i="8"/>
  <c r="X474" i="8"/>
  <c r="X204" i="8"/>
  <c r="X434" i="8"/>
  <c r="X206" i="8"/>
  <c r="X572" i="8"/>
  <c r="X243" i="8"/>
  <c r="X207" i="8"/>
  <c r="X432" i="8"/>
  <c r="X448" i="8"/>
  <c r="X211" i="8"/>
  <c r="X476" i="8"/>
  <c r="X214" i="8"/>
  <c r="X482" i="8"/>
  <c r="X218" i="8"/>
  <c r="X221" i="8"/>
  <c r="X257" i="8"/>
  <c r="X444" i="8"/>
  <c r="X462" i="8"/>
  <c r="X470" i="8"/>
  <c r="X438" i="8"/>
  <c r="X215" i="8"/>
  <c r="X450" i="8"/>
  <c r="X437" i="8"/>
  <c r="X235" i="8"/>
  <c r="X447" i="8"/>
  <c r="X245" i="8"/>
  <c r="X453" i="8"/>
  <c r="X418" i="8"/>
  <c r="X242" i="8"/>
  <c r="X249" i="8"/>
  <c r="X306" i="8"/>
  <c r="X464" i="8"/>
  <c r="X446" i="8"/>
  <c r="X246" i="8"/>
  <c r="X463" i="8"/>
  <c r="X428" i="8"/>
  <c r="X467" i="8"/>
  <c r="X511" i="8"/>
  <c r="X452" i="8"/>
  <c r="X293" i="8"/>
  <c r="X549" i="8"/>
  <c r="X465" i="8"/>
  <c r="X224" i="8"/>
  <c r="X226" i="8"/>
  <c r="X445" i="8"/>
  <c r="X419" i="8"/>
  <c r="X256" i="8"/>
  <c r="X366" i="8"/>
  <c r="X255" i="8"/>
  <c r="X533" i="8"/>
  <c r="X433" i="8"/>
  <c r="X430" i="8"/>
  <c r="X423" i="8"/>
  <c r="X488" i="8"/>
  <c r="X230" i="8"/>
  <c r="X472" i="8"/>
  <c r="X396" i="8"/>
  <c r="X440" i="8"/>
  <c r="X231" i="8"/>
  <c r="X513" i="8"/>
  <c r="X315" i="8"/>
  <c r="X233" i="8"/>
  <c r="X455" i="8"/>
  <c r="X473" i="8"/>
  <c r="X456" i="8"/>
  <c r="X236" i="8"/>
  <c r="X364" i="8"/>
  <c r="X422" i="8"/>
  <c r="X261" i="8"/>
  <c r="X273" i="8"/>
  <c r="X239" i="8"/>
  <c r="X260" i="8"/>
  <c r="X392" i="8"/>
  <c r="X295" i="8"/>
  <c r="X308" i="8"/>
  <c r="X361" i="8"/>
  <c r="X240" i="8"/>
  <c r="X412" i="8"/>
  <c r="X531" i="8"/>
  <c r="X262" i="8"/>
  <c r="X259" i="8"/>
  <c r="X250" i="8"/>
  <c r="X248" i="8"/>
  <c r="X291" i="8"/>
  <c r="X436" i="8"/>
  <c r="X271" i="8"/>
  <c r="X247" i="8"/>
  <c r="X370" i="8"/>
  <c r="X263" i="8"/>
  <c r="X443" i="8"/>
  <c r="X377" i="8"/>
  <c r="X252" i="8"/>
  <c r="X413" i="8"/>
  <c r="X368" i="8"/>
  <c r="X459" i="8"/>
  <c r="X365" i="8"/>
  <c r="X253" i="8"/>
  <c r="X454" i="8"/>
  <c r="X414" i="8"/>
  <c r="X351" i="8"/>
  <c r="X416" i="8"/>
  <c r="X376" i="8"/>
  <c r="X381" i="8"/>
  <c r="X287" i="8"/>
  <c r="X375" i="8"/>
  <c r="X339" i="8"/>
  <c r="X421" i="8"/>
  <c r="X407" i="8"/>
  <c r="X258" i="8"/>
  <c r="X425" i="8"/>
  <c r="X362" i="8"/>
  <c r="X372" i="8"/>
  <c r="X379" i="8"/>
  <c r="X289" i="8"/>
  <c r="X270" i="8"/>
  <c r="X280" i="8"/>
  <c r="X389" i="8"/>
  <c r="X491" i="8"/>
  <c r="X435" i="8"/>
  <c r="X411" i="8"/>
  <c r="X277" i="8"/>
  <c r="X457" i="8"/>
  <c r="X420" i="8"/>
  <c r="X490" i="8"/>
  <c r="X402" i="8"/>
  <c r="X400" i="8"/>
  <c r="X348" i="8"/>
  <c r="X265" i="8"/>
  <c r="X311" i="8"/>
  <c r="X398" i="8"/>
  <c r="X471" i="8"/>
  <c r="X333" i="8"/>
  <c r="X417" i="8"/>
  <c r="X460" i="8"/>
  <c r="X299" i="8"/>
  <c r="X399" i="8"/>
  <c r="X269" i="8"/>
  <c r="X281" i="8"/>
  <c r="X371" i="8"/>
  <c r="X401" i="8"/>
  <c r="X426" i="8"/>
  <c r="X441" i="8"/>
  <c r="X431" i="8"/>
  <c r="X397" i="8"/>
  <c r="X363" i="8"/>
  <c r="X267" i="8"/>
  <c r="X268" i="8"/>
  <c r="X415" i="8"/>
  <c r="X279" i="8"/>
  <c r="X274" i="8"/>
  <c r="X285" i="8"/>
  <c r="X272" i="8"/>
  <c r="X290" i="8"/>
  <c r="X409" i="8"/>
  <c r="X374" i="8"/>
  <c r="X355" i="8"/>
  <c r="X352" i="8"/>
  <c r="X427" i="8"/>
  <c r="X275" i="8"/>
  <c r="X284" i="8"/>
  <c r="X458" i="8"/>
  <c r="X288" i="8"/>
  <c r="X439" i="8"/>
  <c r="X367" i="8"/>
  <c r="X492" i="8"/>
  <c r="X282" i="8"/>
  <c r="X385" i="8"/>
  <c r="X442" i="8"/>
  <c r="X410" i="8"/>
  <c r="X347" i="8"/>
  <c r="X386" i="8"/>
  <c r="X278" i="8"/>
  <c r="X512" i="8"/>
  <c r="X360" i="8"/>
  <c r="X307" i="8"/>
  <c r="X312" i="8"/>
  <c r="X328" i="8"/>
  <c r="X406" i="8"/>
  <c r="X358" i="8"/>
  <c r="X393" i="8"/>
  <c r="X391" i="8"/>
  <c r="X286" i="8"/>
  <c r="X408" i="8"/>
  <c r="X369" i="8"/>
  <c r="X327" i="8"/>
  <c r="X296" i="8"/>
  <c r="X283" i="8"/>
  <c r="X342" i="8"/>
  <c r="X461" i="8"/>
  <c r="X297" i="8"/>
  <c r="X302" i="8"/>
  <c r="X356" i="8"/>
  <c r="X330" i="8"/>
  <c r="X405" i="8"/>
  <c r="X294" i="8"/>
  <c r="X304" i="8"/>
  <c r="X341" i="8"/>
  <c r="X394" i="8"/>
  <c r="X305" i="8"/>
  <c r="X395" i="8"/>
  <c r="X390" i="8"/>
  <c r="X292" i="8"/>
  <c r="X357" i="8"/>
  <c r="X338" i="8"/>
  <c r="X344" i="8"/>
  <c r="X314" i="8"/>
  <c r="X404" i="8"/>
  <c r="X345" i="8"/>
  <c r="X301" i="8"/>
  <c r="X387" i="8"/>
  <c r="X373" i="8"/>
  <c r="X384" i="8"/>
  <c r="X353" i="8"/>
  <c r="X382" i="8"/>
  <c r="X429" i="8"/>
  <c r="X378" i="8"/>
  <c r="X303" i="8"/>
  <c r="X324" i="8"/>
  <c r="X298" i="8"/>
  <c r="X343" i="8"/>
  <c r="X313" i="8"/>
  <c r="X300" i="8"/>
  <c r="X388" i="8"/>
  <c r="X309" i="8"/>
  <c r="X329" i="8"/>
  <c r="X320" i="8"/>
  <c r="X354" i="8"/>
  <c r="X380" i="8"/>
  <c r="X346" i="8"/>
  <c r="X336" i="8"/>
  <c r="X359" i="8"/>
  <c r="X310" i="8"/>
  <c r="X349" i="8"/>
  <c r="X335" i="8"/>
  <c r="X337" i="8"/>
  <c r="X331" i="8"/>
  <c r="X316" i="8"/>
  <c r="X340" i="8"/>
  <c r="X323" i="8"/>
  <c r="X322" i="8"/>
  <c r="X325" i="8"/>
  <c r="X317" i="8"/>
  <c r="X318" i="8"/>
  <c r="X319" i="8"/>
  <c r="X326" i="8"/>
  <c r="X332" i="8"/>
  <c r="X350" i="8"/>
  <c r="X334" i="8"/>
  <c r="X321" i="8"/>
  <c r="X2" i="8"/>
  <c r="C4" i="3"/>
  <c r="B4" i="3"/>
  <c r="C3" i="3"/>
  <c r="C5" i="3" s="1"/>
  <c r="B3" i="3"/>
  <c r="B5" i="3" s="1"/>
  <c r="C3" i="4"/>
  <c r="C5" i="4" s="1"/>
  <c r="B3" i="4"/>
  <c r="B5" i="4" s="1"/>
  <c r="B7" i="4" l="1"/>
  <c r="Z513" i="8"/>
  <c r="Z146" i="8"/>
  <c r="Z70" i="8"/>
  <c r="Z298" i="8"/>
  <c r="Z192" i="8"/>
  <c r="Z559" i="8"/>
  <c r="Z353" i="8"/>
  <c r="Z391" i="8"/>
  <c r="Z279" i="8"/>
  <c r="Z417" i="8"/>
  <c r="Z416" i="8"/>
  <c r="Z423" i="8"/>
  <c r="Z467" i="8"/>
  <c r="Z572" i="8"/>
  <c r="Z241" i="8"/>
  <c r="Z223" i="8"/>
  <c r="Z169" i="8"/>
  <c r="Z567" i="8"/>
  <c r="Z229" i="8"/>
  <c r="Z165" i="8"/>
  <c r="Z131" i="8"/>
  <c r="Z125" i="8"/>
  <c r="Z593" i="8"/>
  <c r="Z340" i="8"/>
  <c r="Z300" i="8"/>
  <c r="Z314" i="8"/>
  <c r="Z360" i="8"/>
  <c r="Z427" i="8"/>
  <c r="Z441" i="8"/>
  <c r="Z400" i="8"/>
  <c r="Z425" i="8"/>
  <c r="Z368" i="8"/>
  <c r="Z233" i="8"/>
  <c r="Z419" i="8"/>
  <c r="Z264" i="8"/>
  <c r="Z163" i="8"/>
  <c r="Z302" i="8"/>
  <c r="Z537" i="8"/>
  <c r="Z326" i="8"/>
  <c r="Z346" i="8"/>
  <c r="Z341" i="8"/>
  <c r="Z492" i="8"/>
  <c r="Z389" i="8"/>
  <c r="Z177" i="8"/>
  <c r="Z199" i="8"/>
  <c r="Z116" i="8"/>
  <c r="Z297" i="8"/>
  <c r="Z412" i="8"/>
  <c r="Z577" i="8"/>
  <c r="Z476" i="8"/>
  <c r="Z510" i="8"/>
  <c r="Z113" i="8"/>
  <c r="Z75" i="8"/>
  <c r="Z28" i="8"/>
  <c r="Z93" i="8"/>
  <c r="Z332" i="8"/>
  <c r="Z286" i="8"/>
  <c r="Z460" i="8"/>
  <c r="Z243" i="8"/>
  <c r="Z601" i="8"/>
  <c r="Z21" i="8"/>
  <c r="Z231" i="8"/>
  <c r="Z348" i="8"/>
  <c r="Z282" i="8"/>
  <c r="Z491" i="8"/>
  <c r="Z376" i="8"/>
  <c r="Z488" i="8"/>
  <c r="Z196" i="8"/>
  <c r="Z508" i="8"/>
  <c r="Z518" i="8"/>
  <c r="Z562" i="8"/>
  <c r="Z455" i="8"/>
  <c r="Z216" i="8"/>
  <c r="Z210" i="8"/>
  <c r="Z461" i="8"/>
  <c r="Z242" i="8"/>
  <c r="Z135" i="8"/>
  <c r="Z618" i="8"/>
  <c r="Z331" i="8"/>
  <c r="Z343" i="8"/>
  <c r="Z338" i="8"/>
  <c r="Z342" i="8"/>
  <c r="Z278" i="8"/>
  <c r="Z355" i="8"/>
  <c r="Z401" i="8"/>
  <c r="Z490" i="8"/>
  <c r="Z407" i="8"/>
  <c r="Z252" i="8"/>
  <c r="Z361" i="8"/>
  <c r="Z418" i="8"/>
  <c r="Z214" i="8"/>
  <c r="Z276" i="8"/>
  <c r="Z424" i="8"/>
  <c r="Z238" i="8"/>
  <c r="Z234" i="8"/>
  <c r="Z200" i="8"/>
  <c r="Z202" i="8"/>
  <c r="Z611" i="8"/>
  <c r="Z539" i="8"/>
  <c r="Z486" i="8"/>
  <c r="Z110" i="8"/>
  <c r="Z182" i="8"/>
  <c r="Z83" i="8"/>
  <c r="Z46" i="8"/>
  <c r="Z614" i="8"/>
  <c r="Z81" i="8"/>
  <c r="Z17" i="8"/>
  <c r="Z71" i="8"/>
  <c r="Z11" i="8"/>
  <c r="Z249" i="8"/>
  <c r="Z218" i="8"/>
  <c r="Z495" i="8"/>
  <c r="Z383" i="8"/>
  <c r="Z489" i="8"/>
  <c r="Z502" i="8"/>
  <c r="Z503" i="8"/>
  <c r="Z546" i="8"/>
  <c r="Z137" i="8"/>
  <c r="Z481" i="8"/>
  <c r="Z485" i="8"/>
  <c r="Z155" i="8"/>
  <c r="Z557" i="8"/>
  <c r="Z140" i="8"/>
  <c r="Z588" i="8"/>
  <c r="Z556" i="8"/>
  <c r="Z60" i="8"/>
  <c r="Z69" i="8"/>
  <c r="Z97" i="8"/>
  <c r="Z26" i="8"/>
  <c r="Z615" i="8"/>
  <c r="Z9" i="8"/>
  <c r="Z616" i="8"/>
  <c r="Z316" i="8"/>
  <c r="Z313" i="8"/>
  <c r="Z344" i="8"/>
  <c r="Z512" i="8"/>
  <c r="Z352" i="8"/>
  <c r="Z426" i="8"/>
  <c r="Z402" i="8"/>
  <c r="Z413" i="8"/>
  <c r="Z240" i="8"/>
  <c r="Z315" i="8"/>
  <c r="Z445" i="8"/>
  <c r="Z482" i="8"/>
  <c r="Z468" i="8"/>
  <c r="Z222" i="8"/>
  <c r="Z181" i="8"/>
  <c r="Z515" i="8"/>
  <c r="Z228" i="8"/>
  <c r="Z579" i="8"/>
  <c r="Z547" i="8"/>
  <c r="Z148" i="8"/>
  <c r="Z540" i="8"/>
  <c r="Z607" i="8"/>
  <c r="Z104" i="8"/>
  <c r="Z151" i="8"/>
  <c r="Z574" i="8"/>
  <c r="Z91" i="8"/>
  <c r="Z106" i="8"/>
  <c r="Z78" i="8"/>
  <c r="Z609" i="8"/>
  <c r="Z40" i="8"/>
  <c r="Z592" i="8"/>
  <c r="Z603" i="8"/>
  <c r="Z337" i="8"/>
  <c r="Z357" i="8"/>
  <c r="Z283" i="8"/>
  <c r="Z386" i="8"/>
  <c r="Z374" i="8"/>
  <c r="Z371" i="8"/>
  <c r="Z420" i="8"/>
  <c r="Z421" i="8"/>
  <c r="Z308" i="8"/>
  <c r="Z453" i="8"/>
  <c r="Z469" i="8"/>
  <c r="Z186" i="8"/>
  <c r="Z179" i="8"/>
  <c r="Z219" i="8"/>
  <c r="Z528" i="8"/>
  <c r="Z162" i="8"/>
  <c r="Z538" i="8"/>
  <c r="Z542" i="8"/>
  <c r="Z109" i="8"/>
  <c r="Z174" i="8"/>
  <c r="Z134" i="8"/>
  <c r="Z44" i="8"/>
  <c r="Z89" i="8"/>
  <c r="Z59" i="8"/>
  <c r="Z45" i="8"/>
  <c r="Z617" i="8"/>
  <c r="Z29" i="8"/>
  <c r="Z258" i="8"/>
  <c r="Z122" i="8"/>
  <c r="Z324" i="8"/>
  <c r="Z292" i="8"/>
  <c r="Z347" i="8"/>
  <c r="Z409" i="8"/>
  <c r="Z339" i="8"/>
  <c r="Z465" i="8"/>
  <c r="Z178" i="8"/>
  <c r="Z483" i="8"/>
  <c r="Z159" i="8"/>
  <c r="Z220" i="8"/>
  <c r="Z589" i="8"/>
  <c r="Z160" i="8"/>
  <c r="Z121" i="8"/>
  <c r="Z68" i="8"/>
  <c r="Z37" i="8"/>
  <c r="Z382" i="8"/>
  <c r="Z394" i="8"/>
  <c r="Z274" i="8"/>
  <c r="Z271" i="8"/>
  <c r="Z511" i="8"/>
  <c r="Z477" i="8"/>
  <c r="Z217" i="8"/>
  <c r="Z132" i="8"/>
  <c r="Z183" i="8"/>
  <c r="Z103" i="8"/>
  <c r="Z88" i="8"/>
  <c r="Z597" i="8"/>
  <c r="Z63" i="8"/>
  <c r="Z14" i="8"/>
  <c r="Z48" i="8"/>
  <c r="Z377" i="8"/>
  <c r="Z194" i="8"/>
  <c r="Z443" i="8"/>
  <c r="Z245" i="8"/>
  <c r="Z211" i="8"/>
  <c r="Z227" i="8"/>
  <c r="Z500" i="8"/>
  <c r="Z254" i="8"/>
  <c r="Z527" i="8"/>
  <c r="Z478" i="8"/>
  <c r="Z594" i="8"/>
  <c r="Z119" i="8"/>
  <c r="Z111" i="8"/>
  <c r="Z129" i="8"/>
  <c r="Z82" i="8"/>
  <c r="Z560" i="8"/>
  <c r="Z84" i="8"/>
  <c r="Z24" i="8"/>
  <c r="Z13" i="8"/>
  <c r="Z318" i="8"/>
  <c r="Z354" i="8"/>
  <c r="Z373" i="8"/>
  <c r="Z294" i="8"/>
  <c r="Z358" i="8"/>
  <c r="Z439" i="8"/>
  <c r="Z268" i="8"/>
  <c r="Z471" i="8"/>
  <c r="Z270" i="8"/>
  <c r="Z414" i="8"/>
  <c r="Z248" i="8"/>
  <c r="Z364" i="8"/>
  <c r="Z433" i="8"/>
  <c r="Z463" i="8"/>
  <c r="Z470" i="8"/>
  <c r="Z434" i="8"/>
  <c r="Z266" i="8"/>
  <c r="Z516" i="8"/>
  <c r="Z172" i="8"/>
  <c r="Z170" i="8"/>
  <c r="Z521" i="8"/>
  <c r="Z156" i="8"/>
  <c r="Z150" i="8"/>
  <c r="Z568" i="8"/>
  <c r="Z545" i="8"/>
  <c r="Z171" i="8"/>
  <c r="Z115" i="8"/>
  <c r="Z587" i="8"/>
  <c r="Z153" i="8"/>
  <c r="Z145" i="8"/>
  <c r="Z520" i="8"/>
  <c r="Z606" i="8"/>
  <c r="Z53" i="8"/>
  <c r="Z605" i="8"/>
  <c r="Z585" i="8"/>
  <c r="Z20" i="8"/>
  <c r="Z66" i="8"/>
  <c r="Z64" i="8"/>
  <c r="Z6" i="8"/>
  <c r="Z335" i="8"/>
  <c r="Z375" i="8"/>
  <c r="Z237" i="8"/>
  <c r="Z205" i="8"/>
  <c r="Z158" i="8"/>
  <c r="Z197" i="8"/>
  <c r="Z529" i="8"/>
  <c r="Z152" i="8"/>
  <c r="Z558" i="8"/>
  <c r="Z225" i="8"/>
  <c r="Z94" i="8"/>
  <c r="Z80" i="8"/>
  <c r="Z72" i="8"/>
  <c r="Z553" i="8"/>
  <c r="Z43" i="8"/>
  <c r="Z67" i="8"/>
  <c r="Z23" i="8"/>
  <c r="Z47" i="8"/>
  <c r="Z18" i="8"/>
  <c r="Z8" i="8"/>
  <c r="Z317" i="8"/>
  <c r="Z320" i="8"/>
  <c r="Z387" i="8"/>
  <c r="Z405" i="8"/>
  <c r="Z406" i="8"/>
  <c r="Z288" i="8"/>
  <c r="Z267" i="8"/>
  <c r="Z398" i="8"/>
  <c r="Z289" i="8"/>
  <c r="Z454" i="8"/>
  <c r="Z250" i="8"/>
  <c r="Z236" i="8"/>
  <c r="Z533" i="8"/>
  <c r="Z246" i="8"/>
  <c r="Z462" i="8"/>
  <c r="Z204" i="8"/>
  <c r="Z193" i="8"/>
  <c r="Z466" i="8"/>
  <c r="Z213" i="8"/>
  <c r="Z509" i="8"/>
  <c r="Z168" i="8"/>
  <c r="Z161" i="8"/>
  <c r="Z497" i="8"/>
  <c r="Z138" i="8"/>
  <c r="Z130" i="8"/>
  <c r="Z124" i="8"/>
  <c r="Z114" i="8"/>
  <c r="Z107" i="8"/>
  <c r="Z180" i="8"/>
  <c r="Z86" i="8"/>
  <c r="Z141" i="8"/>
  <c r="Z90" i="8"/>
  <c r="Z118" i="8"/>
  <c r="Z95" i="8"/>
  <c r="Z31" i="8"/>
  <c r="Z19" i="8"/>
  <c r="Z10" i="8"/>
  <c r="Z74" i="8"/>
  <c r="Z4" i="8"/>
  <c r="Z87" i="8"/>
  <c r="Z295" i="8"/>
  <c r="Z390" i="8"/>
  <c r="Z269" i="8"/>
  <c r="Z263" i="8"/>
  <c r="Z396" i="8"/>
  <c r="Z447" i="8"/>
  <c r="Z208" i="8"/>
  <c r="Z232" i="8"/>
  <c r="Z378" i="8"/>
  <c r="Z395" i="8"/>
  <c r="Z272" i="8"/>
  <c r="Z399" i="8"/>
  <c r="Z287" i="8"/>
  <c r="Z370" i="8"/>
  <c r="Z472" i="8"/>
  <c r="Z293" i="8"/>
  <c r="Z432" i="8"/>
  <c r="Z525" i="8"/>
  <c r="Z565" i="8"/>
  <c r="Z451" i="8"/>
  <c r="Z543" i="8"/>
  <c r="Z598" i="8"/>
  <c r="Z164" i="8"/>
  <c r="Z188" i="8"/>
  <c r="Z117" i="8"/>
  <c r="Z583" i="8"/>
  <c r="Z569" i="8"/>
  <c r="Z55" i="8"/>
  <c r="Z33" i="8"/>
  <c r="Z602" i="8"/>
  <c r="Z34" i="8"/>
  <c r="Z77" i="8"/>
  <c r="Z325" i="8"/>
  <c r="Z329" i="8"/>
  <c r="Z301" i="8"/>
  <c r="Z330" i="8"/>
  <c r="Z328" i="8"/>
  <c r="Z458" i="8"/>
  <c r="Z363" i="8"/>
  <c r="Z311" i="8"/>
  <c r="Z379" i="8"/>
  <c r="Z253" i="8"/>
  <c r="Z259" i="8"/>
  <c r="Z456" i="8"/>
  <c r="Z255" i="8"/>
  <c r="Z446" i="8"/>
  <c r="Z444" i="8"/>
  <c r="Z474" i="8"/>
  <c r="Z251" i="8"/>
  <c r="Z487" i="8"/>
  <c r="Z189" i="8"/>
  <c r="Z536" i="8"/>
  <c r="Z534" i="8"/>
  <c r="Z498" i="8"/>
  <c r="Z149" i="8"/>
  <c r="Z173" i="8"/>
  <c r="Z517" i="8"/>
  <c r="Z123" i="8"/>
  <c r="Z550" i="8"/>
  <c r="Z523" i="8"/>
  <c r="Z479" i="8"/>
  <c r="Z108" i="8"/>
  <c r="Z581" i="8"/>
  <c r="Z147" i="8"/>
  <c r="Z76" i="8"/>
  <c r="Z49" i="8"/>
  <c r="Z555" i="8"/>
  <c r="Z570" i="8"/>
  <c r="Z50" i="8"/>
  <c r="Z610" i="8"/>
  <c r="Z224" i="8"/>
  <c r="Z604" i="8"/>
  <c r="Z296" i="8"/>
  <c r="Z457" i="8"/>
  <c r="Z440" i="8"/>
  <c r="Z349" i="8"/>
  <c r="Z327" i="8"/>
  <c r="Z290" i="8"/>
  <c r="Z392" i="8"/>
  <c r="Z448" i="8"/>
  <c r="Z519" i="8"/>
  <c r="Z442" i="8"/>
  <c r="Z322" i="8"/>
  <c r="Z309" i="8"/>
  <c r="Z345" i="8"/>
  <c r="Z356" i="8"/>
  <c r="Z312" i="8"/>
  <c r="Z284" i="8"/>
  <c r="Z397" i="8"/>
  <c r="Z265" i="8"/>
  <c r="Z372" i="8"/>
  <c r="Z365" i="8"/>
  <c r="Z262" i="8"/>
  <c r="Z473" i="8"/>
  <c r="Z366" i="8"/>
  <c r="Z464" i="8"/>
  <c r="Z257" i="8"/>
  <c r="Z507" i="8"/>
  <c r="Z191" i="8"/>
  <c r="Z504" i="8"/>
  <c r="Z449" i="8"/>
  <c r="Z167" i="8"/>
  <c r="Z506" i="8"/>
  <c r="Z552" i="8"/>
  <c r="Z561" i="8"/>
  <c r="Z136" i="8"/>
  <c r="Z128" i="8"/>
  <c r="Z554" i="8"/>
  <c r="Z526" i="8"/>
  <c r="Z105" i="8"/>
  <c r="Z143" i="8"/>
  <c r="Z85" i="8"/>
  <c r="Z586" i="8"/>
  <c r="Z61" i="8"/>
  <c r="Z57" i="8"/>
  <c r="Z35" i="8"/>
  <c r="Z73" i="8"/>
  <c r="Z36" i="8"/>
  <c r="Z58" i="8"/>
  <c r="Z25" i="8"/>
  <c r="Z436" i="8"/>
  <c r="Z56" i="8"/>
  <c r="Z2" i="8"/>
  <c r="Z281" i="8"/>
  <c r="Z303" i="8"/>
  <c r="Z410" i="8"/>
  <c r="Z277" i="8"/>
  <c r="Z549" i="8"/>
  <c r="Z480" i="8"/>
  <c r="Z499" i="8"/>
  <c r="Z334" i="8"/>
  <c r="Z323" i="8"/>
  <c r="Z388" i="8"/>
  <c r="Z307" i="8"/>
  <c r="Z431" i="8"/>
  <c r="Z459" i="8"/>
  <c r="Z531" i="8"/>
  <c r="Z306" i="8"/>
  <c r="Z221" i="8"/>
  <c r="Z484" i="8"/>
  <c r="Z493" i="8"/>
  <c r="Z530" i="8"/>
  <c r="Z198" i="8"/>
  <c r="Z590" i="8"/>
  <c r="Z599" i="8"/>
  <c r="Z39" i="8"/>
  <c r="Z30" i="8"/>
  <c r="K31" i="10"/>
  <c r="A8" i="3"/>
  <c r="C8" i="3"/>
  <c r="Z404" i="8"/>
  <c r="Z275" i="8"/>
  <c r="Z362" i="8"/>
  <c r="Z256" i="8"/>
  <c r="Z201" i="8"/>
  <c r="Z176" i="8"/>
  <c r="Z535" i="8"/>
  <c r="Z566" i="8"/>
  <c r="Z100" i="8"/>
  <c r="Z120" i="8"/>
  <c r="Z98" i="8"/>
  <c r="Z41" i="8"/>
  <c r="Z336" i="8"/>
  <c r="Z273" i="8"/>
  <c r="Z450" i="8"/>
  <c r="Z505" i="8"/>
  <c r="Z600" i="8"/>
  <c r="Z79" i="8"/>
  <c r="Z102" i="8"/>
  <c r="Z608" i="8"/>
  <c r="Z226" i="8"/>
  <c r="Z501" i="8"/>
  <c r="Z99" i="8"/>
  <c r="Z613" i="8"/>
  <c r="Z369" i="8"/>
  <c r="Z411" i="8"/>
  <c r="Z166" i="8"/>
  <c r="Z244" i="8"/>
  <c r="Z42" i="8"/>
  <c r="Z261" i="8"/>
  <c r="Z215" i="8"/>
  <c r="Z544" i="8"/>
  <c r="Z576" i="8"/>
  <c r="Z321" i="8"/>
  <c r="Z310" i="8"/>
  <c r="Z260" i="8"/>
  <c r="Z235" i="8"/>
  <c r="Z514" i="8"/>
  <c r="Z133" i="8"/>
  <c r="Z582" i="8"/>
  <c r="Z5" i="8"/>
  <c r="Z175" i="8"/>
  <c r="Z101" i="8"/>
  <c r="Z62" i="8"/>
  <c r="Z54" i="8"/>
  <c r="Z612" i="8"/>
  <c r="Z595" i="8"/>
  <c r="Z578" i="8"/>
  <c r="Z12" i="8"/>
  <c r="Z65" i="8"/>
  <c r="Z3" i="8"/>
  <c r="Z350" i="8"/>
  <c r="Z359" i="8"/>
  <c r="Z429" i="8"/>
  <c r="Z305" i="8"/>
  <c r="Z408" i="8"/>
  <c r="Z385" i="8"/>
  <c r="Z285" i="8"/>
  <c r="Z299" i="8"/>
  <c r="Z435" i="8"/>
  <c r="Z381" i="8"/>
  <c r="Z247" i="8"/>
  <c r="Z239" i="8"/>
  <c r="Z230" i="8"/>
  <c r="Z452" i="8"/>
  <c r="Z437" i="8"/>
  <c r="Z207" i="8"/>
  <c r="Z475" i="8"/>
  <c r="Z185" i="8"/>
  <c r="Z403" i="8"/>
  <c r="Z524" i="8"/>
  <c r="Z187" i="8"/>
  <c r="Z564" i="8"/>
  <c r="Z144" i="8"/>
  <c r="Z532" i="8"/>
  <c r="Z126" i="8"/>
  <c r="Z563" i="8"/>
  <c r="Z548" i="8"/>
  <c r="Z127" i="8"/>
  <c r="Z92" i="8"/>
  <c r="Z591" i="8"/>
  <c r="Z142" i="8"/>
  <c r="Z38" i="8"/>
  <c r="Z596" i="8"/>
  <c r="Z22" i="8"/>
  <c r="Z15" i="8"/>
  <c r="Z27" i="8"/>
  <c r="Z16" i="8"/>
  <c r="Z319" i="8"/>
  <c r="Z380" i="8"/>
  <c r="Z384" i="8"/>
  <c r="Z304" i="8"/>
  <c r="Z393" i="8"/>
  <c r="Z367" i="8"/>
  <c r="Z415" i="8"/>
  <c r="Z333" i="8"/>
  <c r="Z280" i="8"/>
  <c r="Z351" i="8"/>
  <c r="Z291" i="8"/>
  <c r="Z422" i="8"/>
  <c r="Z430" i="8"/>
  <c r="Z428" i="8"/>
  <c r="Z438" i="8"/>
  <c r="Z206" i="8"/>
  <c r="Z195" i="8"/>
  <c r="Z184" i="8"/>
  <c r="Z203" i="8"/>
  <c r="Z209" i="8"/>
  <c r="Z580" i="8"/>
  <c r="Z157" i="8"/>
  <c r="Z541" i="8"/>
  <c r="Z139" i="8"/>
  <c r="Z212" i="8"/>
  <c r="Z522" i="8"/>
  <c r="Z154" i="8"/>
  <c r="Z190" i="8"/>
  <c r="Z584" i="8"/>
  <c r="Z575" i="8"/>
  <c r="Z573" i="8"/>
  <c r="Z494" i="8"/>
  <c r="Z96" i="8"/>
  <c r="Z112" i="8"/>
  <c r="Z32" i="8"/>
  <c r="Z51" i="8"/>
  <c r="Z52" i="8"/>
  <c r="Z7" i="8"/>
  <c r="Z571" i="8"/>
</calcChain>
</file>

<file path=xl/sharedStrings.xml><?xml version="1.0" encoding="utf-8"?>
<sst xmlns="http://schemas.openxmlformats.org/spreadsheetml/2006/main" count="4658" uniqueCount="1757">
  <si>
    <t>HCPCS_Cd</t>
  </si>
  <si>
    <t>J9271</t>
  </si>
  <si>
    <t>J0178</t>
  </si>
  <si>
    <t>J0897</t>
  </si>
  <si>
    <t>J9299</t>
  </si>
  <si>
    <t>Brnd_Name</t>
  </si>
  <si>
    <t>Keytruda</t>
  </si>
  <si>
    <t>Eylea</t>
  </si>
  <si>
    <t>Prolia*</t>
  </si>
  <si>
    <t>Opdivo</t>
  </si>
  <si>
    <t>Gnrc_Name</t>
  </si>
  <si>
    <t>Pembrolizumab</t>
  </si>
  <si>
    <t>Aflibercept</t>
  </si>
  <si>
    <t>Denosumab*</t>
  </si>
  <si>
    <t>Nivolumab</t>
  </si>
  <si>
    <t>Tot_Spndng_2018</t>
  </si>
  <si>
    <t>Tot_Benes_2018</t>
  </si>
  <si>
    <t>Avg_Spndng_Per_Bene_2018</t>
  </si>
  <si>
    <t>Tot_Spndng_2021</t>
  </si>
  <si>
    <t>Tot_Benes_2021</t>
  </si>
  <si>
    <t>Avg_Spndng_Per_Bene_2021</t>
  </si>
  <si>
    <t>J2778</t>
  </si>
  <si>
    <t>J0129</t>
  </si>
  <si>
    <t>Lucentis</t>
  </si>
  <si>
    <t>Orencia*</t>
  </si>
  <si>
    <t>Ranibizumab</t>
  </si>
  <si>
    <t>Abatacept*</t>
  </si>
  <si>
    <t>J1300</t>
  </si>
  <si>
    <t>Soliris</t>
  </si>
  <si>
    <t>Eculizumab</t>
  </si>
  <si>
    <t>J3380</t>
  </si>
  <si>
    <t>J2505</t>
  </si>
  <si>
    <t>J1745</t>
  </si>
  <si>
    <t>J1569</t>
  </si>
  <si>
    <t>J0717</t>
  </si>
  <si>
    <t>J9145</t>
  </si>
  <si>
    <t>J9305</t>
  </si>
  <si>
    <t>Entyvio</t>
  </si>
  <si>
    <t>Neulasta*</t>
  </si>
  <si>
    <t>Remicade</t>
  </si>
  <si>
    <t>Gammagard Liquid</t>
  </si>
  <si>
    <t>Cimzia</t>
  </si>
  <si>
    <t>Darzalex</t>
  </si>
  <si>
    <t>Alimta</t>
  </si>
  <si>
    <t>Fluzone High-Dose 2015-2016*</t>
  </si>
  <si>
    <t>Vedolizumab</t>
  </si>
  <si>
    <t>Pegfilgrastim*</t>
  </si>
  <si>
    <t>Infliximab</t>
  </si>
  <si>
    <t>Immun Glob G(Igg)/Gly/Iga Ov50</t>
  </si>
  <si>
    <t>Certolizumab Pegol</t>
  </si>
  <si>
    <t>Daratumumab</t>
  </si>
  <si>
    <t>Pemetrexed Disodium</t>
  </si>
  <si>
    <t>Flu Vacc TS2015-16(65yr,up)/PF*</t>
  </si>
  <si>
    <t>J2353</t>
  </si>
  <si>
    <t>J1561</t>
  </si>
  <si>
    <t>J9228</t>
  </si>
  <si>
    <t>J2357</t>
  </si>
  <si>
    <t>J1930</t>
  </si>
  <si>
    <t>J1602</t>
  </si>
  <si>
    <t>J9035</t>
  </si>
  <si>
    <t>J0585</t>
  </si>
  <si>
    <t>J9041</t>
  </si>
  <si>
    <t>Sandostatin Lar*</t>
  </si>
  <si>
    <t>Gammaked*</t>
  </si>
  <si>
    <t>Yervoy</t>
  </si>
  <si>
    <t>Xolair</t>
  </si>
  <si>
    <t>Somatuline Depot</t>
  </si>
  <si>
    <t>Simponi Aria</t>
  </si>
  <si>
    <t>Avastin</t>
  </si>
  <si>
    <t>Botox*</t>
  </si>
  <si>
    <t>Velcade</t>
  </si>
  <si>
    <t>Octreotide Acetate,mi-Spheres*</t>
  </si>
  <si>
    <t>Immune Globul G/Gly/Iga Avg 46*</t>
  </si>
  <si>
    <t>Ipilimumab</t>
  </si>
  <si>
    <t>Omalizumab</t>
  </si>
  <si>
    <t>Lanreotide Acetate</t>
  </si>
  <si>
    <t>Golimumab</t>
  </si>
  <si>
    <t>Bevacizumab</t>
  </si>
  <si>
    <t>Onabotulinumtoxina*</t>
  </si>
  <si>
    <t>Bortezomib</t>
  </si>
  <si>
    <t>J9264</t>
  </si>
  <si>
    <t>J1459</t>
  </si>
  <si>
    <t>J9047</t>
  </si>
  <si>
    <t>Abraxane</t>
  </si>
  <si>
    <t>Privigen</t>
  </si>
  <si>
    <t>Kyprolis</t>
  </si>
  <si>
    <t>Paclitaxel Protein-Bound</t>
  </si>
  <si>
    <t>Immun Glob G(Igg)/Pro/Iga 0-50</t>
  </si>
  <si>
    <t>Carfilzomib</t>
  </si>
  <si>
    <t>J9306</t>
  </si>
  <si>
    <t>J3262</t>
  </si>
  <si>
    <t>Perjeta</t>
  </si>
  <si>
    <t>Actemra*</t>
  </si>
  <si>
    <t>Pertuzumab</t>
  </si>
  <si>
    <t>Tocilizumab*</t>
  </si>
  <si>
    <t>J3357</t>
  </si>
  <si>
    <t>J7686</t>
  </si>
  <si>
    <t>J2796</t>
  </si>
  <si>
    <t>J1568</t>
  </si>
  <si>
    <t>Stelara (J3357)</t>
  </si>
  <si>
    <t>Tyvaso*</t>
  </si>
  <si>
    <t>NPlate</t>
  </si>
  <si>
    <t>Octagam</t>
  </si>
  <si>
    <t>Ustekinumab</t>
  </si>
  <si>
    <t>Treprostinil*</t>
  </si>
  <si>
    <t>Romiplostim</t>
  </si>
  <si>
    <t>Immun Globg(Igg)/Malt/Iga Ov50</t>
  </si>
  <si>
    <t>J9217</t>
  </si>
  <si>
    <t>J9355</t>
  </si>
  <si>
    <t>J1559</t>
  </si>
  <si>
    <t>J2182</t>
  </si>
  <si>
    <t>J2323</t>
  </si>
  <si>
    <t>Eligard*</t>
  </si>
  <si>
    <t>Herceptin</t>
  </si>
  <si>
    <t>Hizentra</t>
  </si>
  <si>
    <t>Nucala</t>
  </si>
  <si>
    <t>Tysabri</t>
  </si>
  <si>
    <t>Leuprolide Acetate*</t>
  </si>
  <si>
    <t>Trastuzumab</t>
  </si>
  <si>
    <t>Mepolizumab</t>
  </si>
  <si>
    <t>Natalizumab</t>
  </si>
  <si>
    <t>J9354</t>
  </si>
  <si>
    <t>J7605</t>
  </si>
  <si>
    <t>Kadcyla</t>
  </si>
  <si>
    <t>Arformoterol Tartrate*</t>
  </si>
  <si>
    <t>Ado-Trastuzumab Emtansine</t>
  </si>
  <si>
    <t>J0881</t>
  </si>
  <si>
    <t>Aranesp (J0881)</t>
  </si>
  <si>
    <t>Darbepoetin Alfa In Polysorbat</t>
  </si>
  <si>
    <t>J9042</t>
  </si>
  <si>
    <t>J1439</t>
  </si>
  <si>
    <t>J2507</t>
  </si>
  <si>
    <t>Adcetris</t>
  </si>
  <si>
    <t>Injectafer</t>
  </si>
  <si>
    <t>Krystexxa</t>
  </si>
  <si>
    <t>Brentuximab Vedotin</t>
  </si>
  <si>
    <t>Ferric Carboxymaltose</t>
  </si>
  <si>
    <t>Pegloticase</t>
  </si>
  <si>
    <t>J1817</t>
  </si>
  <si>
    <t>J3285</t>
  </si>
  <si>
    <t>Fiasp Penfill*</t>
  </si>
  <si>
    <t>Remodulin*</t>
  </si>
  <si>
    <t>Insulin Aspart (Niacinamide)*</t>
  </si>
  <si>
    <t>Treprostinil Sodium*</t>
  </si>
  <si>
    <t>Q2043</t>
  </si>
  <si>
    <t>Provenge</t>
  </si>
  <si>
    <t>Sipuleucel-T/Lactated Ringers</t>
  </si>
  <si>
    <t>J9043</t>
  </si>
  <si>
    <t>J9055</t>
  </si>
  <si>
    <t>Pneumovax 23</t>
  </si>
  <si>
    <t>Jevtana</t>
  </si>
  <si>
    <t>Erbitux</t>
  </si>
  <si>
    <t>Pneumococcal 23-Val P-Sac Vac</t>
  </si>
  <si>
    <t>Cabazitaxel</t>
  </si>
  <si>
    <t>Cetuximab</t>
  </si>
  <si>
    <t>J9301</t>
  </si>
  <si>
    <t>J2785</t>
  </si>
  <si>
    <t>J7606</t>
  </si>
  <si>
    <t>J9034</t>
  </si>
  <si>
    <t>J9308</t>
  </si>
  <si>
    <t>J0256</t>
  </si>
  <si>
    <t>Gazyva</t>
  </si>
  <si>
    <t>Lexiscan</t>
  </si>
  <si>
    <t>Formoterol Fumarate*</t>
  </si>
  <si>
    <t>Prevnar 13</t>
  </si>
  <si>
    <t>Bendeka</t>
  </si>
  <si>
    <t>Cyramza</t>
  </si>
  <si>
    <t>Aralast NP*</t>
  </si>
  <si>
    <t>Obinutuzumab</t>
  </si>
  <si>
    <t>Regadenoson</t>
  </si>
  <si>
    <t>Pneumococcal 13-Valent Vaccine</t>
  </si>
  <si>
    <t>Bendamustine HCL</t>
  </si>
  <si>
    <t>Ramucirumab</t>
  </si>
  <si>
    <t>Alpha-1-Proteinase Inhibitor*</t>
  </si>
  <si>
    <t>J7503</t>
  </si>
  <si>
    <t>J0490</t>
  </si>
  <si>
    <t>J7192</t>
  </si>
  <si>
    <t>J9303</t>
  </si>
  <si>
    <t>J9395</t>
  </si>
  <si>
    <t>J9176</t>
  </si>
  <si>
    <t>Envarsus Xr</t>
  </si>
  <si>
    <t>Benlysta</t>
  </si>
  <si>
    <t>Advate*</t>
  </si>
  <si>
    <t>Vectibix</t>
  </si>
  <si>
    <t>Faslodex*</t>
  </si>
  <si>
    <t>Empliciti</t>
  </si>
  <si>
    <t>Tacrolimus</t>
  </si>
  <si>
    <t>Belimumab</t>
  </si>
  <si>
    <t>Antihemophil.FVIII,full Length*</t>
  </si>
  <si>
    <t>Panitumumab</t>
  </si>
  <si>
    <t>Fulvestrant*</t>
  </si>
  <si>
    <t>Elotuzumab</t>
  </si>
  <si>
    <t>Q0138</t>
  </si>
  <si>
    <t>Feraheme (Q0138)</t>
  </si>
  <si>
    <t>Ferumoxytol</t>
  </si>
  <si>
    <t>J7518</t>
  </si>
  <si>
    <t>Mycophenolic Acid*</t>
  </si>
  <si>
    <t>Mycophenolate Sodium*</t>
  </si>
  <si>
    <t>J0485</t>
  </si>
  <si>
    <t>Nulojix</t>
  </si>
  <si>
    <t>Belatacept</t>
  </si>
  <si>
    <t>J0775</t>
  </si>
  <si>
    <t>Xiaflex</t>
  </si>
  <si>
    <t>Collagenase Clostridium Hist.</t>
  </si>
  <si>
    <t>J7325</t>
  </si>
  <si>
    <t>J1575</t>
  </si>
  <si>
    <t>Synvisc*</t>
  </si>
  <si>
    <t>Hyqvia</t>
  </si>
  <si>
    <t>Hylan G-F 20*</t>
  </si>
  <si>
    <t>Igg/Hyaluronidase,recombinant</t>
  </si>
  <si>
    <t>J7205</t>
  </si>
  <si>
    <t>J0221</t>
  </si>
  <si>
    <t>Eloctate</t>
  </si>
  <si>
    <t>Lumizyme</t>
  </si>
  <si>
    <t>Antihemoph.FVIII Rec,fc Fusion</t>
  </si>
  <si>
    <t>Alglucosidase Alfa</t>
  </si>
  <si>
    <t>J0885</t>
  </si>
  <si>
    <t>J9205</t>
  </si>
  <si>
    <t>Epogen (J0885)*</t>
  </si>
  <si>
    <t>Onivyde</t>
  </si>
  <si>
    <t>Epoetin Alfa*</t>
  </si>
  <si>
    <t>Irinotecan Liposomal</t>
  </si>
  <si>
    <t>J7189</t>
  </si>
  <si>
    <t>Novoseven RT</t>
  </si>
  <si>
    <t>Coagulation Factor VIIA,recomb</t>
  </si>
  <si>
    <t>J7201</t>
  </si>
  <si>
    <t>J7202</t>
  </si>
  <si>
    <t>J7626</t>
  </si>
  <si>
    <t>J0180</t>
  </si>
  <si>
    <t>Alprolix</t>
  </si>
  <si>
    <t>Idelvion</t>
  </si>
  <si>
    <t>Budesonide*</t>
  </si>
  <si>
    <t>Fabrazyme</t>
  </si>
  <si>
    <t>Factor IX Rec, Fc Fusion Protn</t>
  </si>
  <si>
    <t>Factor IX Recom,albumin Fusion</t>
  </si>
  <si>
    <t>Agalsidase Beta</t>
  </si>
  <si>
    <t>J7327</t>
  </si>
  <si>
    <t>J7312</t>
  </si>
  <si>
    <t>J2997</t>
  </si>
  <si>
    <t>Monovisc</t>
  </si>
  <si>
    <t>Ozurdex</t>
  </si>
  <si>
    <t>Activase*</t>
  </si>
  <si>
    <t>Hyaluronate Sodium, Stabilized</t>
  </si>
  <si>
    <t>Dexamethasone</t>
  </si>
  <si>
    <t>Alteplase*</t>
  </si>
  <si>
    <t>J7507</t>
  </si>
  <si>
    <t>J7323</t>
  </si>
  <si>
    <t>Hecoria*</t>
  </si>
  <si>
    <t>Euflexxa</t>
  </si>
  <si>
    <t>Tacrolimus*</t>
  </si>
  <si>
    <t>Hyaluronate Sodium</t>
  </si>
  <si>
    <t>J0875</t>
  </si>
  <si>
    <t>J9179</t>
  </si>
  <si>
    <t>Dalvance</t>
  </si>
  <si>
    <t>Halaven</t>
  </si>
  <si>
    <t>Dalbavancin HCL</t>
  </si>
  <si>
    <t>Eribulin Mesylate</t>
  </si>
  <si>
    <t>J7324</t>
  </si>
  <si>
    <t>Q2050</t>
  </si>
  <si>
    <t>J1786</t>
  </si>
  <si>
    <t>J7195</t>
  </si>
  <si>
    <t>J7527</t>
  </si>
  <si>
    <t>J7308</t>
  </si>
  <si>
    <t>Orthovisc</t>
  </si>
  <si>
    <t>Doxil*</t>
  </si>
  <si>
    <t>Cerezyme</t>
  </si>
  <si>
    <t>Benefix</t>
  </si>
  <si>
    <t>Everolimus*</t>
  </si>
  <si>
    <t>Levulan</t>
  </si>
  <si>
    <t>Doxorubicin HCL Peg-Liposomal*</t>
  </si>
  <si>
    <t>Imiglucerase</t>
  </si>
  <si>
    <t>Factor IX Human Recombinant</t>
  </si>
  <si>
    <t>Aminolevulinic Acid HCL</t>
  </si>
  <si>
    <t>J9025</t>
  </si>
  <si>
    <t>J9070</t>
  </si>
  <si>
    <t>Azacitidine*</t>
  </si>
  <si>
    <t>Cyclophosphamide (J9070)</t>
  </si>
  <si>
    <t>Cyclophosphamide</t>
  </si>
  <si>
    <t>J7187</t>
  </si>
  <si>
    <t>Humate-P</t>
  </si>
  <si>
    <t>Antihemophilic Factor/VWF</t>
  </si>
  <si>
    <t>J1566</t>
  </si>
  <si>
    <t>J7207</t>
  </si>
  <si>
    <t>J7639</t>
  </si>
  <si>
    <t>Carimune NF Nanofiltered*</t>
  </si>
  <si>
    <t>Adynovate</t>
  </si>
  <si>
    <t>Pulmozyme</t>
  </si>
  <si>
    <t>Immun Globg(Igg)/Sucr/Iga Ov50*</t>
  </si>
  <si>
    <t>Antihemo.FVIII,full Length Peg</t>
  </si>
  <si>
    <t>Dornase Alfa</t>
  </si>
  <si>
    <t>J9039</t>
  </si>
  <si>
    <t>Blincyto</t>
  </si>
  <si>
    <t>Blinatumomab</t>
  </si>
  <si>
    <t>J3385</t>
  </si>
  <si>
    <t>Vpriv</t>
  </si>
  <si>
    <t>Afluria Quad 2017-2018 (90686)*</t>
  </si>
  <si>
    <t>Velaglucerase Alfa</t>
  </si>
  <si>
    <t>Flu Vacc Quad 2017(5 Yr Up)/PF*</t>
  </si>
  <si>
    <t>J3315</t>
  </si>
  <si>
    <t>J7517</t>
  </si>
  <si>
    <t>Trelstar</t>
  </si>
  <si>
    <t>CELlcept*</t>
  </si>
  <si>
    <t>Triptorelin Pamoate</t>
  </si>
  <si>
    <t>Mycophenolate Mofetil*</t>
  </si>
  <si>
    <t>J9325</t>
  </si>
  <si>
    <t>Imlygic</t>
  </si>
  <si>
    <t>Flublok Quad 2017-2018*</t>
  </si>
  <si>
    <t>Talimogene Laherparepvec</t>
  </si>
  <si>
    <t>Flu Vac Qv 2017(18yr Up)rcm/PF*</t>
  </si>
  <si>
    <t>J9307</t>
  </si>
  <si>
    <t>J0475</t>
  </si>
  <si>
    <t>J7682</t>
  </si>
  <si>
    <t>J0588</t>
  </si>
  <si>
    <t>J7198</t>
  </si>
  <si>
    <t>J7321</t>
  </si>
  <si>
    <t>Folotyn</t>
  </si>
  <si>
    <t>Baclofen*</t>
  </si>
  <si>
    <t>Bethkis*</t>
  </si>
  <si>
    <t>Xeomin</t>
  </si>
  <si>
    <t>Feiba NF</t>
  </si>
  <si>
    <t>Hyalgan*</t>
  </si>
  <si>
    <t>Pralatrexate</t>
  </si>
  <si>
    <t>Tobramycin*</t>
  </si>
  <si>
    <t>Incobotulinumtoxina</t>
  </si>
  <si>
    <t>Anti-Inhibitor Coagulant Comp.</t>
  </si>
  <si>
    <t>Hyaluronate Sodium*</t>
  </si>
  <si>
    <t>Q4133</t>
  </si>
  <si>
    <t>Q5101</t>
  </si>
  <si>
    <t>J2562</t>
  </si>
  <si>
    <t>J8521</t>
  </si>
  <si>
    <t>J9155</t>
  </si>
  <si>
    <t>J2426</t>
  </si>
  <si>
    <t>Grafix stravix prime pl sqcm</t>
  </si>
  <si>
    <t>Zarxio</t>
  </si>
  <si>
    <t>Mozobil</t>
  </si>
  <si>
    <t>Capecitabine (J8521)*</t>
  </si>
  <si>
    <t>Firmagon</t>
  </si>
  <si>
    <t>Invega Sustenna</t>
  </si>
  <si>
    <t>Filgrastim-Sndz</t>
  </si>
  <si>
    <t>Plerixafor</t>
  </si>
  <si>
    <t>Capecitabine*</t>
  </si>
  <si>
    <t>Degarelix Acetate</t>
  </si>
  <si>
    <t>Paliperidone Palmitate</t>
  </si>
  <si>
    <t>J3301</t>
  </si>
  <si>
    <t>J9033</t>
  </si>
  <si>
    <t>Kenalog*</t>
  </si>
  <si>
    <t>Treanda</t>
  </si>
  <si>
    <t>Triamcinolone Acetonide*</t>
  </si>
  <si>
    <t>J1325</t>
  </si>
  <si>
    <t>J1955</t>
  </si>
  <si>
    <t>J1442</t>
  </si>
  <si>
    <t>P9047</t>
  </si>
  <si>
    <t>J0702</t>
  </si>
  <si>
    <t>J0894</t>
  </si>
  <si>
    <t>J7190</t>
  </si>
  <si>
    <t>J3145</t>
  </si>
  <si>
    <t>J7520</t>
  </si>
  <si>
    <t>J1556</t>
  </si>
  <si>
    <t>Epoprostenol Sodium*</t>
  </si>
  <si>
    <t>Carnitor</t>
  </si>
  <si>
    <t>Neupogen</t>
  </si>
  <si>
    <t>Albuked-25 (P9047)*</t>
  </si>
  <si>
    <t>Betamethasone Acetate-Sod Phos*</t>
  </si>
  <si>
    <t>Dacogen*</t>
  </si>
  <si>
    <t>Alphanate (J7190)*</t>
  </si>
  <si>
    <t>Aveed</t>
  </si>
  <si>
    <t>Rapamune*</t>
  </si>
  <si>
    <t>Bivigam</t>
  </si>
  <si>
    <t>Epoprostenol Sodium (Glycine)*</t>
  </si>
  <si>
    <t>Levocarnitine</t>
  </si>
  <si>
    <t>Filgrastim</t>
  </si>
  <si>
    <t>Albumin Human*</t>
  </si>
  <si>
    <t>Betamethasone Acetate,sod Phos*</t>
  </si>
  <si>
    <t>Decitabine*</t>
  </si>
  <si>
    <t>Antihemophilic Factor/VWF*</t>
  </si>
  <si>
    <t>Testosterone Undecanoate</t>
  </si>
  <si>
    <t>Sirolimus*</t>
  </si>
  <si>
    <t>J1453</t>
  </si>
  <si>
    <t>J2783</t>
  </si>
  <si>
    <t>Emend*</t>
  </si>
  <si>
    <t>Elitek</t>
  </si>
  <si>
    <t>Fosaprepitant Dimeglumine*</t>
  </si>
  <si>
    <t>Rasburicase</t>
  </si>
  <si>
    <t>J1557</t>
  </si>
  <si>
    <t>Flucelvax Quad 2016-2017*</t>
  </si>
  <si>
    <t>Gammaplex*</t>
  </si>
  <si>
    <t>Flu Vac QS 16-17(4yr Up)cel/PF*</t>
  </si>
  <si>
    <t>Immun Glob G(Igg)/Gly/Iga 0-50*</t>
  </si>
  <si>
    <t>J0257</t>
  </si>
  <si>
    <t>Glassia</t>
  </si>
  <si>
    <t>Alpha-1-Proteinase Inhibitor</t>
  </si>
  <si>
    <t>J1030</t>
  </si>
  <si>
    <t>J1040</t>
  </si>
  <si>
    <t>Depo-Medrol (J1030)*</t>
  </si>
  <si>
    <t>Depo-Medrol (J1040)*</t>
  </si>
  <si>
    <t>MethylprednIsolone Acetate*</t>
  </si>
  <si>
    <t>Q9967</t>
  </si>
  <si>
    <t>J2786</t>
  </si>
  <si>
    <t>Hexabrix*</t>
  </si>
  <si>
    <t>Cinqair</t>
  </si>
  <si>
    <t>Ioxaglate Meg/Ioxaglate Sodium*</t>
  </si>
  <si>
    <t>Reslizumab</t>
  </si>
  <si>
    <t>J3240</t>
  </si>
  <si>
    <t>J7620</t>
  </si>
  <si>
    <t>Thyrogen</t>
  </si>
  <si>
    <t>Engerix-B (90747)*</t>
  </si>
  <si>
    <t>Ipratropium-Albuterol</t>
  </si>
  <si>
    <t>Thyrotropin Alfa</t>
  </si>
  <si>
    <t>Hepatitis B Virus Vaccine/PF*</t>
  </si>
  <si>
    <t>Ipratropium/Albuterol Sulfate</t>
  </si>
  <si>
    <t>J9202</t>
  </si>
  <si>
    <t>P9045</t>
  </si>
  <si>
    <t>Zoladex</t>
  </si>
  <si>
    <t>Albuked-5 (P9045)*</t>
  </si>
  <si>
    <t>Goserelin Acetate</t>
  </si>
  <si>
    <t>J0586</t>
  </si>
  <si>
    <t>Dysport</t>
  </si>
  <si>
    <t>Abobotulinumtoxina</t>
  </si>
  <si>
    <t>J7182</t>
  </si>
  <si>
    <t>J7313</t>
  </si>
  <si>
    <t>J9352</t>
  </si>
  <si>
    <t>Novoeight</t>
  </si>
  <si>
    <t>Iluvien</t>
  </si>
  <si>
    <t>Yondelis</t>
  </si>
  <si>
    <t>Antihemoph.FVIII,b-Dom Truncat</t>
  </si>
  <si>
    <t>Fluocinolone Acetonide</t>
  </si>
  <si>
    <t>Trabectedin</t>
  </si>
  <si>
    <t>J7200</t>
  </si>
  <si>
    <t>J7185</t>
  </si>
  <si>
    <t>J3300</t>
  </si>
  <si>
    <t>Q4074</t>
  </si>
  <si>
    <t>Rixubis</t>
  </si>
  <si>
    <t>Xyntha*</t>
  </si>
  <si>
    <t>Triesence</t>
  </si>
  <si>
    <t>Ventavis</t>
  </si>
  <si>
    <t>Antihemoph.FVIII,b-Domain Del*</t>
  </si>
  <si>
    <t>Triamcinolone Acetonide/PF</t>
  </si>
  <si>
    <t>Iloprost Tromethamine</t>
  </si>
  <si>
    <t>J1610</t>
  </si>
  <si>
    <t>Glucagen*</t>
  </si>
  <si>
    <t>Glucagon*</t>
  </si>
  <si>
    <t>J7613</t>
  </si>
  <si>
    <t>Albuterol Sulfate (J7613)</t>
  </si>
  <si>
    <t>HyperRAB*</t>
  </si>
  <si>
    <t>Albuterol Sulfate</t>
  </si>
  <si>
    <t>Rabies Immune Globulin/PF*</t>
  </si>
  <si>
    <t>J1640</t>
  </si>
  <si>
    <t>J0587</t>
  </si>
  <si>
    <t>J3101</t>
  </si>
  <si>
    <t>J1750</t>
  </si>
  <si>
    <t>J2469</t>
  </si>
  <si>
    <t>Panhematin</t>
  </si>
  <si>
    <t>Myobloc</t>
  </si>
  <si>
    <t>Tnkase</t>
  </si>
  <si>
    <t>Infed</t>
  </si>
  <si>
    <t>Afluria Quad 2017-2018 (90688)*</t>
  </si>
  <si>
    <t>Aloxi*</t>
  </si>
  <si>
    <t>Hemin</t>
  </si>
  <si>
    <t>Rimabotulinumtoxinb</t>
  </si>
  <si>
    <t>Tenecteplase</t>
  </si>
  <si>
    <t>Iron Dextran Complex</t>
  </si>
  <si>
    <t>Flu Vacc Quad 2017-18(5 Yr Up)*</t>
  </si>
  <si>
    <t>Palonosetron HCL*</t>
  </si>
  <si>
    <t>J3415</t>
  </si>
  <si>
    <t>A9585</t>
  </si>
  <si>
    <t>J1950</t>
  </si>
  <si>
    <t>Pyridoxine HCL</t>
  </si>
  <si>
    <t>Gadavist</t>
  </si>
  <si>
    <t>Heplisav-B</t>
  </si>
  <si>
    <t>Lupron Depot*</t>
  </si>
  <si>
    <t>Pyridoxine HCL (Vitamin B6)</t>
  </si>
  <si>
    <t>Gadobutrol</t>
  </si>
  <si>
    <t>Hepatitis B Vaccine/CPG1018/PF</t>
  </si>
  <si>
    <t>Engerix-B (90740)*</t>
  </si>
  <si>
    <t>A9575</t>
  </si>
  <si>
    <t>J3489</t>
  </si>
  <si>
    <t>Clariscan*</t>
  </si>
  <si>
    <t>Reclast*</t>
  </si>
  <si>
    <t>Gadoterate Meglumine*</t>
  </si>
  <si>
    <t>Zoledronic Acid/Mannitol-Water*</t>
  </si>
  <si>
    <t>Q4121</t>
  </si>
  <si>
    <t>J7515</t>
  </si>
  <si>
    <t>J0202</t>
  </si>
  <si>
    <t>J9032</t>
  </si>
  <si>
    <t>Theraskin</t>
  </si>
  <si>
    <t>Cyclosporine (J7515)*</t>
  </si>
  <si>
    <t>Lemtrada</t>
  </si>
  <si>
    <t>Beleodaq</t>
  </si>
  <si>
    <t>Cyclosporine*</t>
  </si>
  <si>
    <t>Alemtuzumab</t>
  </si>
  <si>
    <t>Belinostat</t>
  </si>
  <si>
    <t>J9214</t>
  </si>
  <si>
    <t>J2260</t>
  </si>
  <si>
    <t>J1447</t>
  </si>
  <si>
    <t>Intron A</t>
  </si>
  <si>
    <t>Milrinone In 5% Dextrose*</t>
  </si>
  <si>
    <t>Granix</t>
  </si>
  <si>
    <t>Interferon Alfa-2b,recomb.</t>
  </si>
  <si>
    <t>Milrinone Lactate/D5W*</t>
  </si>
  <si>
    <t>Tbo-Filgrastim</t>
  </si>
  <si>
    <t>J7186</t>
  </si>
  <si>
    <t>Alphanate (J7186)</t>
  </si>
  <si>
    <t>J9357</t>
  </si>
  <si>
    <t>J0640</t>
  </si>
  <si>
    <t>J0878</t>
  </si>
  <si>
    <t>J9280</t>
  </si>
  <si>
    <t>J1572</t>
  </si>
  <si>
    <t>J2278</t>
  </si>
  <si>
    <t>J3060</t>
  </si>
  <si>
    <t>J2407</t>
  </si>
  <si>
    <t>J0401</t>
  </si>
  <si>
    <t>J1335</t>
  </si>
  <si>
    <t>J9207</t>
  </si>
  <si>
    <t>J7508</t>
  </si>
  <si>
    <t>J7193</t>
  </si>
  <si>
    <t>J7183</t>
  </si>
  <si>
    <t>J0638</t>
  </si>
  <si>
    <t>Valrubicin*</t>
  </si>
  <si>
    <t>Leucovorin Calcium</t>
  </si>
  <si>
    <t>Cubicin*</t>
  </si>
  <si>
    <t>Mitomycin*</t>
  </si>
  <si>
    <t>Flebogamma Dif</t>
  </si>
  <si>
    <t>Prialt</t>
  </si>
  <si>
    <t>Elelyso</t>
  </si>
  <si>
    <t>Orbactiv</t>
  </si>
  <si>
    <t>Abilify Maintena</t>
  </si>
  <si>
    <t>Ertapenem*</t>
  </si>
  <si>
    <t>IXempra</t>
  </si>
  <si>
    <t>Astagraf XL</t>
  </si>
  <si>
    <t>Alphanine SD*</t>
  </si>
  <si>
    <t>Wilate</t>
  </si>
  <si>
    <t>Ilaris</t>
  </si>
  <si>
    <t>Daptomycin*</t>
  </si>
  <si>
    <t>Imm Glob G (Igg)/Sorb/Iga 0-50</t>
  </si>
  <si>
    <t>Ziconotide Acetate</t>
  </si>
  <si>
    <t>Taliglucerase Alfa</t>
  </si>
  <si>
    <t>Oritavancin Diphosphate</t>
  </si>
  <si>
    <t>Aripiprazole</t>
  </si>
  <si>
    <t>Ertapenem Sodium*</t>
  </si>
  <si>
    <t>IXabepilone</t>
  </si>
  <si>
    <t>Factor IX*</t>
  </si>
  <si>
    <t>Canakinumab/PF</t>
  </si>
  <si>
    <t>J1212</t>
  </si>
  <si>
    <t>J7180</t>
  </si>
  <si>
    <t>J8700</t>
  </si>
  <si>
    <t>Rimso-50</t>
  </si>
  <si>
    <t>Imovax Rabies Vaccine*</t>
  </si>
  <si>
    <t>Corifact</t>
  </si>
  <si>
    <t>Temodar (J8700)*</t>
  </si>
  <si>
    <t>Dimethyl Sulfoxide</t>
  </si>
  <si>
    <t>Rabies Vacc, Human Diploid/PF*</t>
  </si>
  <si>
    <t>Factor XIII</t>
  </si>
  <si>
    <t>Temozolomide*</t>
  </si>
  <si>
    <t>J3420</t>
  </si>
  <si>
    <t>Cyanocobalamin*</t>
  </si>
  <si>
    <t>Cyanocobalamin (Vitamin B-12)*</t>
  </si>
  <si>
    <t>Q9957</t>
  </si>
  <si>
    <t>Definity</t>
  </si>
  <si>
    <t>Perflutren Lipid Microspheres</t>
  </si>
  <si>
    <t>J2794</t>
  </si>
  <si>
    <t>J9201</t>
  </si>
  <si>
    <t>J7500</t>
  </si>
  <si>
    <t>Engerix-B (90746)*</t>
  </si>
  <si>
    <t>Risperdal Consta</t>
  </si>
  <si>
    <t>Gemcitabine HCL*</t>
  </si>
  <si>
    <t>Azasan*</t>
  </si>
  <si>
    <t>Risperidone Microspheres</t>
  </si>
  <si>
    <t>Azathioprine*</t>
  </si>
  <si>
    <t>J9171</t>
  </si>
  <si>
    <t>J9330</t>
  </si>
  <si>
    <t>J1756</t>
  </si>
  <si>
    <t>J7502</t>
  </si>
  <si>
    <t>Docefrez*</t>
  </si>
  <si>
    <t>Temsirolimus*</t>
  </si>
  <si>
    <t>Venofer</t>
  </si>
  <si>
    <t>Cyclosporine (J7502)*</t>
  </si>
  <si>
    <t>Docetaxel*</t>
  </si>
  <si>
    <t>Iron Sucrose Complex</t>
  </si>
  <si>
    <t>J9267</t>
  </si>
  <si>
    <t>J9263</t>
  </si>
  <si>
    <t>J3396</t>
  </si>
  <si>
    <t>J0850</t>
  </si>
  <si>
    <t>J1100</t>
  </si>
  <si>
    <t>J9190</t>
  </si>
  <si>
    <t>J2820</t>
  </si>
  <si>
    <t>Paclitaxel</t>
  </si>
  <si>
    <t>Eloxatin*</t>
  </si>
  <si>
    <t>Visudyne</t>
  </si>
  <si>
    <t>Cytogam</t>
  </si>
  <si>
    <t>Dexamethasone Sodium Phosphate*</t>
  </si>
  <si>
    <t>Adrucil*</t>
  </si>
  <si>
    <t>Leukine</t>
  </si>
  <si>
    <t>Oxaliplatin*</t>
  </si>
  <si>
    <t>Verteporfin</t>
  </si>
  <si>
    <t>Cytomegalovirus Immune Globuln</t>
  </si>
  <si>
    <t>Dexamethasone Sod Phosphate*</t>
  </si>
  <si>
    <t>Fluorouracil*</t>
  </si>
  <si>
    <t>Sargramostim</t>
  </si>
  <si>
    <t>J0289</t>
  </si>
  <si>
    <t>J2274</t>
  </si>
  <si>
    <t>J7336</t>
  </si>
  <si>
    <t>J0630</t>
  </si>
  <si>
    <t>AmbIsome</t>
  </si>
  <si>
    <t>Duramorph*</t>
  </si>
  <si>
    <t>Qutenza</t>
  </si>
  <si>
    <t>Calcitonin-Salmon*</t>
  </si>
  <si>
    <t>Amphotericin B Liposome</t>
  </si>
  <si>
    <t>Morphine Sulfate/PF*</t>
  </si>
  <si>
    <t>Capsaicin/Skin Cleanser</t>
  </si>
  <si>
    <t>Calcitonin,salmon,synthetic*</t>
  </si>
  <si>
    <t>J9045</t>
  </si>
  <si>
    <t>J0561</t>
  </si>
  <si>
    <t>J1071</t>
  </si>
  <si>
    <t>J2315</t>
  </si>
  <si>
    <t>J7608</t>
  </si>
  <si>
    <t>J7511</t>
  </si>
  <si>
    <t>J0600</t>
  </si>
  <si>
    <t>J8560</t>
  </si>
  <si>
    <t>J2248</t>
  </si>
  <si>
    <t>J8705</t>
  </si>
  <si>
    <t>Q9965</t>
  </si>
  <si>
    <t>J9266</t>
  </si>
  <si>
    <t>Carboplatin*</t>
  </si>
  <si>
    <t>Bicillin L-A</t>
  </si>
  <si>
    <t>Depo-Testosterone*</t>
  </si>
  <si>
    <t>Vivitrol</t>
  </si>
  <si>
    <t>Adacel TDAP*</t>
  </si>
  <si>
    <t>Acetylcysteine</t>
  </si>
  <si>
    <t>Thymoglobulin*</t>
  </si>
  <si>
    <t>Calcium Disodium Versenate</t>
  </si>
  <si>
    <t>Etoposide</t>
  </si>
  <si>
    <t>Micafungin*</t>
  </si>
  <si>
    <t>Hycamtin (J8705)</t>
  </si>
  <si>
    <t>Omnipaque</t>
  </si>
  <si>
    <t>Oncaspar</t>
  </si>
  <si>
    <t>Penicillin G Benzathine</t>
  </si>
  <si>
    <t>Testosterone Cypionate*</t>
  </si>
  <si>
    <t>Naltrexone Microspheres</t>
  </si>
  <si>
    <t>Diph,pertuss(Acell),tet Vac/PF*</t>
  </si>
  <si>
    <t>Anti-Thymocyte Globulin,rabbit*</t>
  </si>
  <si>
    <t>Edetate Calcium Disodium</t>
  </si>
  <si>
    <t>Micafungin Sodium*</t>
  </si>
  <si>
    <t>Topotecan HCL</t>
  </si>
  <si>
    <t>Iohexol</t>
  </si>
  <si>
    <t>Pegaspargase</t>
  </si>
  <si>
    <t>J0480</t>
  </si>
  <si>
    <t>J3411</t>
  </si>
  <si>
    <t>J9206</t>
  </si>
  <si>
    <t>Simulect</t>
  </si>
  <si>
    <t>Thiamine HCL</t>
  </si>
  <si>
    <t>Camptosar*</t>
  </si>
  <si>
    <t>Basiliximab</t>
  </si>
  <si>
    <t>Irinotecan HCL*</t>
  </si>
  <si>
    <t>J9017</t>
  </si>
  <si>
    <t>J1743</t>
  </si>
  <si>
    <t>Arsenic Trioxide*</t>
  </si>
  <si>
    <t>Elaprase</t>
  </si>
  <si>
    <t>Idursulfase</t>
  </si>
  <si>
    <t>Tdvax*</t>
  </si>
  <si>
    <t>Tetanus, Diphtheria Tox,adult*</t>
  </si>
  <si>
    <t>J1931</t>
  </si>
  <si>
    <t>P9041</t>
  </si>
  <si>
    <t>J9400</t>
  </si>
  <si>
    <t>J2930</t>
  </si>
  <si>
    <t>Q4101</t>
  </si>
  <si>
    <t>A9579</t>
  </si>
  <si>
    <t>Aldurazyme</t>
  </si>
  <si>
    <t>Albuked-5 (P9041)*</t>
  </si>
  <si>
    <t>Zaltrap</t>
  </si>
  <si>
    <t>MethylprednIsolone Sodium Succ (J2930)*</t>
  </si>
  <si>
    <t>Apligraf</t>
  </si>
  <si>
    <t>Magnevist*</t>
  </si>
  <si>
    <t>Laronidase</t>
  </si>
  <si>
    <t>Ziv-Aflibercept</t>
  </si>
  <si>
    <t>MethylprednIsolone Sod Succ*</t>
  </si>
  <si>
    <t>Cult Skin Subst,human-Bovine</t>
  </si>
  <si>
    <t>Gadopentetate Dimeglumine*</t>
  </si>
  <si>
    <t>J0597</t>
  </si>
  <si>
    <t>J7644</t>
  </si>
  <si>
    <t>Berinert</t>
  </si>
  <si>
    <t>Ipratropium Bromide</t>
  </si>
  <si>
    <t>C1 Esterase Inhibitor</t>
  </si>
  <si>
    <t>J3095</t>
  </si>
  <si>
    <t>Q4106</t>
  </si>
  <si>
    <t>J0696</t>
  </si>
  <si>
    <t>Vibativ</t>
  </si>
  <si>
    <t>Dermagraft</t>
  </si>
  <si>
    <t>Ceftriaxone*</t>
  </si>
  <si>
    <t>Telavancin HCL</t>
  </si>
  <si>
    <t>Ceftriaxone In Is-Osm Dextrose*</t>
  </si>
  <si>
    <t>J1170</t>
  </si>
  <si>
    <t>J1250</t>
  </si>
  <si>
    <t>Q9966</t>
  </si>
  <si>
    <t>A9577</t>
  </si>
  <si>
    <t>Dilaudid*</t>
  </si>
  <si>
    <t>Dobutamine HCL*</t>
  </si>
  <si>
    <t>Isovue-200*</t>
  </si>
  <si>
    <t>Multihance</t>
  </si>
  <si>
    <t>Hydromorphone HCL*</t>
  </si>
  <si>
    <t>Iopamidol*</t>
  </si>
  <si>
    <t>Gadobenate Dimeglumine</t>
  </si>
  <si>
    <t>J0598</t>
  </si>
  <si>
    <t>Cinryze</t>
  </si>
  <si>
    <t>J0840</t>
  </si>
  <si>
    <t>Crofab</t>
  </si>
  <si>
    <t>Antivenin,crotalidae Fab(Ovin)</t>
  </si>
  <si>
    <t>A9581</t>
  </si>
  <si>
    <t>Eovist</t>
  </si>
  <si>
    <t>Gadoxetate Disodium</t>
  </si>
  <si>
    <t>J0153</t>
  </si>
  <si>
    <t>J8530</t>
  </si>
  <si>
    <t>J7512</t>
  </si>
  <si>
    <t>J0740</t>
  </si>
  <si>
    <t>J1190</t>
  </si>
  <si>
    <t>J9050</t>
  </si>
  <si>
    <t>J9328</t>
  </si>
  <si>
    <t>Adenocard*</t>
  </si>
  <si>
    <t>Cyclophosphamide (J8530)</t>
  </si>
  <si>
    <t>PrednIsone*</t>
  </si>
  <si>
    <t>Cidofovir</t>
  </si>
  <si>
    <t>Dexrazoxane*</t>
  </si>
  <si>
    <t>Bicnu*</t>
  </si>
  <si>
    <t>Temodar (J9328)</t>
  </si>
  <si>
    <t>Imogam Rabies-HT</t>
  </si>
  <si>
    <t>Adenosine*</t>
  </si>
  <si>
    <t>Dexrazoxane HCL*</t>
  </si>
  <si>
    <t>Carmustine*</t>
  </si>
  <si>
    <t>Temozolomide</t>
  </si>
  <si>
    <t>Rabies Immune Globulin/PF</t>
  </si>
  <si>
    <t>Q3027</t>
  </si>
  <si>
    <t>J1885</t>
  </si>
  <si>
    <t>Avonex*</t>
  </si>
  <si>
    <t>Ketorolac Tromethamine</t>
  </si>
  <si>
    <t>Interferon Beta-1a*</t>
  </si>
  <si>
    <t>J1050</t>
  </si>
  <si>
    <t>Depo-Provera</t>
  </si>
  <si>
    <t>Medroxyprogesterone Acetate</t>
  </si>
  <si>
    <t>J9302</t>
  </si>
  <si>
    <t>J7030</t>
  </si>
  <si>
    <t>Arzerra</t>
  </si>
  <si>
    <t>Sodium Chloride (J7030)</t>
  </si>
  <si>
    <t>Ofatumumab</t>
  </si>
  <si>
    <t>0.9 % Sodium Chloride</t>
  </si>
  <si>
    <t>Q0139</t>
  </si>
  <si>
    <t>J9371</t>
  </si>
  <si>
    <t>Feraheme (Q0139)</t>
  </si>
  <si>
    <t>Marqibo</t>
  </si>
  <si>
    <t>Vincristine Sulfate Liposomal</t>
  </si>
  <si>
    <t>J7631</t>
  </si>
  <si>
    <t>Cromolyn Sodium</t>
  </si>
  <si>
    <t>J1020</t>
  </si>
  <si>
    <t>Depo-Medrol (J1020)*</t>
  </si>
  <si>
    <t>J1245</t>
  </si>
  <si>
    <t>J1720</t>
  </si>
  <si>
    <t>J9268</t>
  </si>
  <si>
    <t>J7614</t>
  </si>
  <si>
    <t>J0895</t>
  </si>
  <si>
    <t>J1162</t>
  </si>
  <si>
    <t>Dipyridamole</t>
  </si>
  <si>
    <t>Solu-Cortef*</t>
  </si>
  <si>
    <t>Nipent</t>
  </si>
  <si>
    <t>Levalbuterol HCL*</t>
  </si>
  <si>
    <t>Deferoxamine Mesylate*</t>
  </si>
  <si>
    <t>Digifab</t>
  </si>
  <si>
    <t>HydrocortIsone Sod Succinate*</t>
  </si>
  <si>
    <t>Pentostatin</t>
  </si>
  <si>
    <t>Digoxin Immune Fab</t>
  </si>
  <si>
    <t>J2597</t>
  </si>
  <si>
    <t>J1570</t>
  </si>
  <si>
    <t>J9261</t>
  </si>
  <si>
    <t>J9000</t>
  </si>
  <si>
    <t>J0280</t>
  </si>
  <si>
    <t>J9181</t>
  </si>
  <si>
    <t>J2920</t>
  </si>
  <si>
    <t>J0725</t>
  </si>
  <si>
    <t>Q9956</t>
  </si>
  <si>
    <t>J2805</t>
  </si>
  <si>
    <t>J2792</t>
  </si>
  <si>
    <t>J0712</t>
  </si>
  <si>
    <t>J1200</t>
  </si>
  <si>
    <t>P9046</t>
  </si>
  <si>
    <t>J9060</t>
  </si>
  <si>
    <t>J8520</t>
  </si>
  <si>
    <t>J1740</t>
  </si>
  <si>
    <t>J1458</t>
  </si>
  <si>
    <t>J9065</t>
  </si>
  <si>
    <t>J0641</t>
  </si>
  <si>
    <t>J3370</t>
  </si>
  <si>
    <t>Ddavp*</t>
  </si>
  <si>
    <t>Cytovene*</t>
  </si>
  <si>
    <t>Arranon</t>
  </si>
  <si>
    <t>Adriamycin*</t>
  </si>
  <si>
    <t>Aminophylline</t>
  </si>
  <si>
    <t>Etopophos*</t>
  </si>
  <si>
    <t>MethylprednIsolone Sodium Succ (J2920)*</t>
  </si>
  <si>
    <t>Chorionic Gonadotropin*</t>
  </si>
  <si>
    <t>OptIson</t>
  </si>
  <si>
    <t>Kinevac</t>
  </si>
  <si>
    <t>Winrho SDF</t>
  </si>
  <si>
    <t>Teflaro</t>
  </si>
  <si>
    <t>Diphenhydramine HCL</t>
  </si>
  <si>
    <t>Albuked-25 (P9046)*</t>
  </si>
  <si>
    <t>Cisplatin</t>
  </si>
  <si>
    <t>Capecitabine (J8520)*</t>
  </si>
  <si>
    <t>Boniva*</t>
  </si>
  <si>
    <t>Naglazyme</t>
  </si>
  <si>
    <t>Cladribine</t>
  </si>
  <si>
    <t>Fusilev*</t>
  </si>
  <si>
    <t>Vancomycin*</t>
  </si>
  <si>
    <t>Desmopressin Acetate*</t>
  </si>
  <si>
    <t>Ganciclovir Sodium*</t>
  </si>
  <si>
    <t>Nelarabine</t>
  </si>
  <si>
    <t>Doxorubicin HCL*</t>
  </si>
  <si>
    <t>Etoposide Phosphate*</t>
  </si>
  <si>
    <t>Chorionic Gonadotropin, Human*</t>
  </si>
  <si>
    <t>Perflutren Protein-A Microsphr</t>
  </si>
  <si>
    <t>Sincalide</t>
  </si>
  <si>
    <t>Rho(D) Immune Globulin/Maltose</t>
  </si>
  <si>
    <t>Ceftaroline Fosamil Acetate</t>
  </si>
  <si>
    <t>Ibandronate Sodium*</t>
  </si>
  <si>
    <t>Galsulfase</t>
  </si>
  <si>
    <t>Levoleucovorin Calcium*</t>
  </si>
  <si>
    <t>Vancomycin HCL In 5 % Dextrose*</t>
  </si>
  <si>
    <t>J9351</t>
  </si>
  <si>
    <t>J7504</t>
  </si>
  <si>
    <t>A9576</t>
  </si>
  <si>
    <t>J7050</t>
  </si>
  <si>
    <t>J3475</t>
  </si>
  <si>
    <t>J9245</t>
  </si>
  <si>
    <t>J0692</t>
  </si>
  <si>
    <t>J1626</t>
  </si>
  <si>
    <t>J9120</t>
  </si>
  <si>
    <t>J3243</t>
  </si>
  <si>
    <t>Hycamtin (J9351)*</t>
  </si>
  <si>
    <t>Atgam*</t>
  </si>
  <si>
    <t>Prohance Multipack</t>
  </si>
  <si>
    <t>Sodium Chloride (J7050)</t>
  </si>
  <si>
    <t>Magnesium Sulfate*</t>
  </si>
  <si>
    <t>Alkeran*</t>
  </si>
  <si>
    <t>Cefepime*</t>
  </si>
  <si>
    <t>Granisetron HCL*</t>
  </si>
  <si>
    <t>COsmegen*</t>
  </si>
  <si>
    <t>Tigecycline*</t>
  </si>
  <si>
    <t>Topotecan HCL*</t>
  </si>
  <si>
    <t>Lymphocyte Ig, Antithymocyte*</t>
  </si>
  <si>
    <t>Gadoteridol</t>
  </si>
  <si>
    <t>Melphalan HCL*</t>
  </si>
  <si>
    <t>Cefepime In Iso-Osm Dextrose*</t>
  </si>
  <si>
    <t>Dactinomycin*</t>
  </si>
  <si>
    <t>J2010</t>
  </si>
  <si>
    <t>J3010</t>
  </si>
  <si>
    <t>Q4110</t>
  </si>
  <si>
    <t>Lincocin*</t>
  </si>
  <si>
    <t>Fentanyl Citrate</t>
  </si>
  <si>
    <t>Primatrix</t>
  </si>
  <si>
    <t>Lincomycin HCL*</t>
  </si>
  <si>
    <t>Fentanyl Citrate/PF</t>
  </si>
  <si>
    <t>J9295</t>
  </si>
  <si>
    <t>J7040</t>
  </si>
  <si>
    <t>J2560</t>
  </si>
  <si>
    <t>J2916</t>
  </si>
  <si>
    <t>J9390</t>
  </si>
  <si>
    <t>J0882</t>
  </si>
  <si>
    <t>Portrazza</t>
  </si>
  <si>
    <t>Sodium Chloride (J7040)</t>
  </si>
  <si>
    <t>Nembutal Sodium*</t>
  </si>
  <si>
    <t>Ferrlecit*</t>
  </si>
  <si>
    <t>Navelbine*</t>
  </si>
  <si>
    <t>Aranesp (J0882)</t>
  </si>
  <si>
    <t>Necitumumab</t>
  </si>
  <si>
    <t>Pentobarbital Sodium*</t>
  </si>
  <si>
    <t>Sodium Ferric Gluconat/Sucrose*</t>
  </si>
  <si>
    <t>Vinorelbine Tartrate*</t>
  </si>
  <si>
    <t>Q9950</t>
  </si>
  <si>
    <t>J2724</t>
  </si>
  <si>
    <t>J2185</t>
  </si>
  <si>
    <t>J0735</t>
  </si>
  <si>
    <t>Lumason</t>
  </si>
  <si>
    <t>Ceprotin</t>
  </si>
  <si>
    <t>Meropenem*</t>
  </si>
  <si>
    <t>Clonidine HCL*</t>
  </si>
  <si>
    <t>Sulfur Hexafluoride Microsphr</t>
  </si>
  <si>
    <t>Protein C, Human</t>
  </si>
  <si>
    <t>Clonidine HCL/PF*</t>
  </si>
  <si>
    <t>J1644</t>
  </si>
  <si>
    <t>J2405</t>
  </si>
  <si>
    <t>J7611</t>
  </si>
  <si>
    <t>J1580</t>
  </si>
  <si>
    <t>J9340</t>
  </si>
  <si>
    <t>Heparin Sodium*</t>
  </si>
  <si>
    <t>Ondansetron HCL (J2405)*</t>
  </si>
  <si>
    <t>Albuterol Sulfate (J7611)</t>
  </si>
  <si>
    <t>Gentamicin Sulfate*</t>
  </si>
  <si>
    <t>Thiotepa</t>
  </si>
  <si>
    <t>Heparin Sodium,porcine*</t>
  </si>
  <si>
    <t>Ondansetron HCL*</t>
  </si>
  <si>
    <t>J1000</t>
  </si>
  <si>
    <t>J9225</t>
  </si>
  <si>
    <t>J0461</t>
  </si>
  <si>
    <t>J2760</t>
  </si>
  <si>
    <t>J2358</t>
  </si>
  <si>
    <t>J0690</t>
  </si>
  <si>
    <t>J1670</t>
  </si>
  <si>
    <t>J2545</t>
  </si>
  <si>
    <t>Depo-Estradiol</t>
  </si>
  <si>
    <t>Vantas</t>
  </si>
  <si>
    <t>Atropine Sulfate</t>
  </si>
  <si>
    <t>Phentolamine Mesylate</t>
  </si>
  <si>
    <t>Zyprexa Relprevv</t>
  </si>
  <si>
    <t>Afluria Quad 2019-20 (6-35mo)*</t>
  </si>
  <si>
    <t>Cefazolin Sodium*</t>
  </si>
  <si>
    <t>Hypertet*</t>
  </si>
  <si>
    <t>Nebupent</t>
  </si>
  <si>
    <t>Estradiol Cypionate</t>
  </si>
  <si>
    <t>Histrelin Acetate</t>
  </si>
  <si>
    <t>Olanzapine Pamoate</t>
  </si>
  <si>
    <t>Flu Vacc QS 2019 (6-35mos)/PF*</t>
  </si>
  <si>
    <t>Tetanus Immune Globulin/PF*</t>
  </si>
  <si>
    <t>Pentamidine Isethionate</t>
  </si>
  <si>
    <t>J0610</t>
  </si>
  <si>
    <t>J2704</t>
  </si>
  <si>
    <t>J1631</t>
  </si>
  <si>
    <t>J9370</t>
  </si>
  <si>
    <t>Calcium Gluconate*</t>
  </si>
  <si>
    <t>Diprivan*</t>
  </si>
  <si>
    <t>Haldol Decanoate 100*</t>
  </si>
  <si>
    <t>Vincasar PFS*</t>
  </si>
  <si>
    <t>Propofol*</t>
  </si>
  <si>
    <t>Haloperidol Decanoate*</t>
  </si>
  <si>
    <t>Vincristine Sulfate*</t>
  </si>
  <si>
    <t>J1290</t>
  </si>
  <si>
    <t>J1460</t>
  </si>
  <si>
    <t>J2425</t>
  </si>
  <si>
    <t>J9208</t>
  </si>
  <si>
    <t>Kalbitor</t>
  </si>
  <si>
    <t>Gamastan*</t>
  </si>
  <si>
    <t>Kepivance</t>
  </si>
  <si>
    <t>Ifex*</t>
  </si>
  <si>
    <t>Ecallantide</t>
  </si>
  <si>
    <t>Immune Globul G (Igg)/Glycine*</t>
  </si>
  <si>
    <t>Palifermin</t>
  </si>
  <si>
    <t>Ifosfamide*</t>
  </si>
  <si>
    <t>J7197</t>
  </si>
  <si>
    <t>Q4102</t>
  </si>
  <si>
    <t>J2543</t>
  </si>
  <si>
    <t>A9578</t>
  </si>
  <si>
    <t>J0834</t>
  </si>
  <si>
    <t>J3250</t>
  </si>
  <si>
    <t>J0743</t>
  </si>
  <si>
    <t>J9360</t>
  </si>
  <si>
    <t>J9130</t>
  </si>
  <si>
    <t>J2550</t>
  </si>
  <si>
    <t>J9293</t>
  </si>
  <si>
    <t>Thrombate III</t>
  </si>
  <si>
    <t>Wound Matrix</t>
  </si>
  <si>
    <t>Ampicillin Sodium (J2543)*</t>
  </si>
  <si>
    <t>Multihance Multipack</t>
  </si>
  <si>
    <t>Cortrosyn*</t>
  </si>
  <si>
    <t>Tigan</t>
  </si>
  <si>
    <t>Imipenem-Cilastatin Sodium*</t>
  </si>
  <si>
    <t>Vinblastine Sulfate</t>
  </si>
  <si>
    <t>Dacarbazine</t>
  </si>
  <si>
    <t>Phenergan*</t>
  </si>
  <si>
    <t>Mitoxantrone HCL</t>
  </si>
  <si>
    <t>Antithrombin III (Plasma Der)</t>
  </si>
  <si>
    <t>Porcine Submucosa, Fenestrated</t>
  </si>
  <si>
    <t>Ampicillin Sodium*</t>
  </si>
  <si>
    <t>Cosyntropin*</t>
  </si>
  <si>
    <t>Trimethobenzamide HCL</t>
  </si>
  <si>
    <t>Imipenem/Cilastatin Sodium*</t>
  </si>
  <si>
    <t>Promethazine HCL*</t>
  </si>
  <si>
    <t>J1742</t>
  </si>
  <si>
    <t>J7674</t>
  </si>
  <si>
    <t>J9040</t>
  </si>
  <si>
    <t>J0713</t>
  </si>
  <si>
    <t>J3480</t>
  </si>
  <si>
    <t>J1571</t>
  </si>
  <si>
    <t>J7612</t>
  </si>
  <si>
    <t>J2175</t>
  </si>
  <si>
    <t>J7194</t>
  </si>
  <si>
    <t>J1650</t>
  </si>
  <si>
    <t>J2360</t>
  </si>
  <si>
    <t>J3260</t>
  </si>
  <si>
    <t>J0594</t>
  </si>
  <si>
    <t>J9027</t>
  </si>
  <si>
    <t>J1380</t>
  </si>
  <si>
    <t>J7060</t>
  </si>
  <si>
    <t>J2250</t>
  </si>
  <si>
    <t>J2400</t>
  </si>
  <si>
    <t>J2540</t>
  </si>
  <si>
    <t>J9260</t>
  </si>
  <si>
    <t>J0637</t>
  </si>
  <si>
    <t>J7120</t>
  </si>
  <si>
    <t>J2430</t>
  </si>
  <si>
    <t>J9185</t>
  </si>
  <si>
    <t>J0278</t>
  </si>
  <si>
    <t>J0558</t>
  </si>
  <si>
    <t>J1364</t>
  </si>
  <si>
    <t>J0694</t>
  </si>
  <si>
    <t>J3121</t>
  </si>
  <si>
    <t>J1940</t>
  </si>
  <si>
    <t>J3090</t>
  </si>
  <si>
    <t>J0287</t>
  </si>
  <si>
    <t>J2770</t>
  </si>
  <si>
    <t>J2680</t>
  </si>
  <si>
    <t>J9209</t>
  </si>
  <si>
    <t>Corvert*</t>
  </si>
  <si>
    <t>Provocholine</t>
  </si>
  <si>
    <t>Bleo 15k*</t>
  </si>
  <si>
    <t>Ceftazidime*</t>
  </si>
  <si>
    <t>Dextrose 5%-Potassium Chloride*</t>
  </si>
  <si>
    <t>Hepagam B</t>
  </si>
  <si>
    <t>Levalbuterol Concentrate*</t>
  </si>
  <si>
    <t>Demerol*</t>
  </si>
  <si>
    <t>Bebulin*</t>
  </si>
  <si>
    <t>Enoxaparin Sodium*</t>
  </si>
  <si>
    <t>Orphenadrine Citrate</t>
  </si>
  <si>
    <t>Tobramycin Sulfate</t>
  </si>
  <si>
    <t>Busulfan*</t>
  </si>
  <si>
    <t>HyperHEP B*</t>
  </si>
  <si>
    <t>Clofarabine*</t>
  </si>
  <si>
    <t>Delestrogen*</t>
  </si>
  <si>
    <t>Dextrose In Water (J7060)</t>
  </si>
  <si>
    <t>Midazolam HCL*</t>
  </si>
  <si>
    <t>Chloroprocaine HCL*</t>
  </si>
  <si>
    <t>Penicillin G Potassium*</t>
  </si>
  <si>
    <t>Methotrexate (J9260)*</t>
  </si>
  <si>
    <t>Cancidas*</t>
  </si>
  <si>
    <t>Lactated Ringers</t>
  </si>
  <si>
    <t>Pamidronate Disodium</t>
  </si>
  <si>
    <t>Fludarabine Phosphate</t>
  </si>
  <si>
    <t>Amikacin Sulfate</t>
  </si>
  <si>
    <t>Bicillin C-R</t>
  </si>
  <si>
    <t>Erythrocin Lactobionate</t>
  </si>
  <si>
    <t>Cefoxitin*</t>
  </si>
  <si>
    <t>Testosterone Enanthate</t>
  </si>
  <si>
    <t>Furosemide</t>
  </si>
  <si>
    <t>Sivextro</t>
  </si>
  <si>
    <t>Abelcet</t>
  </si>
  <si>
    <t>Synercid</t>
  </si>
  <si>
    <t>Fluphenazine Decanoate</t>
  </si>
  <si>
    <t>Mesna*</t>
  </si>
  <si>
    <t>Ibutilide Fumarate*</t>
  </si>
  <si>
    <t>Methacholine Chloride</t>
  </si>
  <si>
    <t>Bleomycin Sulfate*</t>
  </si>
  <si>
    <t>Potassium Chloride In D5W*</t>
  </si>
  <si>
    <t>Hepatitis B Immun Glob/Maltose</t>
  </si>
  <si>
    <t>Meperidine HCL*</t>
  </si>
  <si>
    <t>Factor IX Cplx(PCC)no6,3factor*</t>
  </si>
  <si>
    <t>Hepatitis B Immune Globulin*</t>
  </si>
  <si>
    <t>Estradiol Valerate*</t>
  </si>
  <si>
    <t>Dextrose 5 % In Water</t>
  </si>
  <si>
    <t>Chloroprocaine HCL/PF*</t>
  </si>
  <si>
    <t>Methotrexate Sodium*</t>
  </si>
  <si>
    <t>Caspofungin Acetate*</t>
  </si>
  <si>
    <t>Ringer's Solution,lactated</t>
  </si>
  <si>
    <t>Pen G Benz/Pen G Procaine</t>
  </si>
  <si>
    <t>Erythromycin Lactobionate</t>
  </si>
  <si>
    <t>Cefoxitin Sodium*</t>
  </si>
  <si>
    <t>Tedizolid Phosphate</t>
  </si>
  <si>
    <t>Amphotericin B Lipid Complex</t>
  </si>
  <si>
    <t>Quinupristin/Dalfopristin</t>
  </si>
  <si>
    <t>J0636</t>
  </si>
  <si>
    <t>J2270</t>
  </si>
  <si>
    <t>J2795</t>
  </si>
  <si>
    <t>J1430</t>
  </si>
  <si>
    <t>J7042</t>
  </si>
  <si>
    <t>Calcitriol</t>
  </si>
  <si>
    <t>Morphine Sulfate*</t>
  </si>
  <si>
    <t>Naropin*</t>
  </si>
  <si>
    <t>Ethamolin</t>
  </si>
  <si>
    <t>Dextrose 5%-0.9% NaCl</t>
  </si>
  <si>
    <t>Ropivacaine HCL/PF*</t>
  </si>
  <si>
    <t>Ethanolamine Oleate</t>
  </si>
  <si>
    <t>Dextrose 5 % And 0.9 % NaCl</t>
  </si>
  <si>
    <t>J3473</t>
  </si>
  <si>
    <t>J1410</t>
  </si>
  <si>
    <t>J0133</t>
  </si>
  <si>
    <t>J3360</t>
  </si>
  <si>
    <t>J7525</t>
  </si>
  <si>
    <t>J2354</t>
  </si>
  <si>
    <t>Hylenex</t>
  </si>
  <si>
    <t>Premarin</t>
  </si>
  <si>
    <t>Acyclovir Sodium</t>
  </si>
  <si>
    <t>Diazepam</t>
  </si>
  <si>
    <t>Prograf</t>
  </si>
  <si>
    <t>Octreotide Acetate*</t>
  </si>
  <si>
    <t>Hyaluronidase, Human Recomb.</t>
  </si>
  <si>
    <t>Estrogens, Conjugated</t>
  </si>
  <si>
    <t>J2700</t>
  </si>
  <si>
    <t>J1110</t>
  </si>
  <si>
    <t>J1205</t>
  </si>
  <si>
    <t>J1645</t>
  </si>
  <si>
    <t>J2150</t>
  </si>
  <si>
    <t>J8655</t>
  </si>
  <si>
    <t>Oxacillin*</t>
  </si>
  <si>
    <t>D.H.E.45*</t>
  </si>
  <si>
    <t>Chlorothiazide Sodium*</t>
  </si>
  <si>
    <t>Fragmin</t>
  </si>
  <si>
    <t>Mannitol</t>
  </si>
  <si>
    <t>Akynzeo (J8655)</t>
  </si>
  <si>
    <t>Oxacillin In Dextrose(Iso-Osm)*</t>
  </si>
  <si>
    <t>Dihydroergotamine Mesylate*</t>
  </si>
  <si>
    <t>Dalteparin Sodium,porcine</t>
  </si>
  <si>
    <t>Netupitant/Palonosetron HCL</t>
  </si>
  <si>
    <t>J9250</t>
  </si>
  <si>
    <t>J1642</t>
  </si>
  <si>
    <t>J9320</t>
  </si>
  <si>
    <t>J2790</t>
  </si>
  <si>
    <t>Methotrexate (J9250)*</t>
  </si>
  <si>
    <t>Heparin Flush*</t>
  </si>
  <si>
    <t>Zanosar</t>
  </si>
  <si>
    <t>Hyperrho S-D*</t>
  </si>
  <si>
    <t>Engerix-B Pediatric-Adolescent*</t>
  </si>
  <si>
    <t>Heparin Sod,porcine/0.9 % NaCl*</t>
  </si>
  <si>
    <t>Streptozocin</t>
  </si>
  <si>
    <t>Rho(D) Immune Globulin*</t>
  </si>
  <si>
    <t>J0596</t>
  </si>
  <si>
    <t>J0295</t>
  </si>
  <si>
    <t>J1265</t>
  </si>
  <si>
    <t>J0670</t>
  </si>
  <si>
    <t>J0290</t>
  </si>
  <si>
    <t>J2300</t>
  </si>
  <si>
    <t>J2060</t>
  </si>
  <si>
    <t>J0780</t>
  </si>
  <si>
    <t>J3430</t>
  </si>
  <si>
    <t>J7510</t>
  </si>
  <si>
    <t>J0583</t>
  </si>
  <si>
    <t>J3410</t>
  </si>
  <si>
    <t>Q4081</t>
  </si>
  <si>
    <t>J2280</t>
  </si>
  <si>
    <t>Q9958</t>
  </si>
  <si>
    <t>J8501</t>
  </si>
  <si>
    <t>J0595</t>
  </si>
  <si>
    <t>J0285</t>
  </si>
  <si>
    <t>J2001</t>
  </si>
  <si>
    <t>J0500</t>
  </si>
  <si>
    <t>J0348</t>
  </si>
  <si>
    <t>Q9961</t>
  </si>
  <si>
    <t>J0171</t>
  </si>
  <si>
    <t>J2800</t>
  </si>
  <si>
    <t>J7509</t>
  </si>
  <si>
    <t>J2690</t>
  </si>
  <si>
    <t>J9178</t>
  </si>
  <si>
    <t>Ruconest</t>
  </si>
  <si>
    <t>Ampicillin-Sulbactam*</t>
  </si>
  <si>
    <t>Dopamine HCL*</t>
  </si>
  <si>
    <t>Polocaine*</t>
  </si>
  <si>
    <t>Ampicillin Sodium (J0290)</t>
  </si>
  <si>
    <t>Nalbuphine HCL</t>
  </si>
  <si>
    <t>Ativan*</t>
  </si>
  <si>
    <t>Prochlorperazine Edisylate</t>
  </si>
  <si>
    <t>Phytonadione*</t>
  </si>
  <si>
    <t>Flo-Pred*</t>
  </si>
  <si>
    <t>Angiomax*</t>
  </si>
  <si>
    <t>Hydroxyzine HCL</t>
  </si>
  <si>
    <t>Epogen (Q4081)*</t>
  </si>
  <si>
    <t>Flumist Quad 2015-2016*</t>
  </si>
  <si>
    <t>Avelox IV*</t>
  </si>
  <si>
    <t>Conray-30*</t>
  </si>
  <si>
    <t>Aprepitant*</t>
  </si>
  <si>
    <t>Afluria Quad 2019-2020*</t>
  </si>
  <si>
    <t>Butorphanol Tartrate</t>
  </si>
  <si>
    <t>Amphotericin B</t>
  </si>
  <si>
    <t>Lidocaine HCL In 5% Dextrose</t>
  </si>
  <si>
    <t>Bentyl*</t>
  </si>
  <si>
    <t>Eraxis (Water Diluent)</t>
  </si>
  <si>
    <t>Cholografin Meglumine*</t>
  </si>
  <si>
    <t>Adrenalin*</t>
  </si>
  <si>
    <t>Methocarbamol*</t>
  </si>
  <si>
    <t>Medrol*</t>
  </si>
  <si>
    <t>Procainamide HCL</t>
  </si>
  <si>
    <t>Ellence*</t>
  </si>
  <si>
    <t>C1 Esterase Inhibitor, Recomb</t>
  </si>
  <si>
    <t>Ampicillin Sodium/Sulbactam Na*</t>
  </si>
  <si>
    <t>Mepivacaine HCL*</t>
  </si>
  <si>
    <t>Ampicillin Sodium</t>
  </si>
  <si>
    <t>Lorazepam*</t>
  </si>
  <si>
    <t>Phytonadione (Vit K1)*</t>
  </si>
  <si>
    <t>PrednIsolone Acetate*</t>
  </si>
  <si>
    <t>Bivalirudin*</t>
  </si>
  <si>
    <t>Flu Vacc Qv Live 2015(2-49yrs)*</t>
  </si>
  <si>
    <t>Moxifloxacin In NaCl (Iso-Osm)*</t>
  </si>
  <si>
    <t>Iothalamate Meglumine*</t>
  </si>
  <si>
    <t>Flu Vacc QS 2019-20 (6 Mos Up)*</t>
  </si>
  <si>
    <t>Lidocaine HCL/Dextrose 5 %/PF</t>
  </si>
  <si>
    <t>Dicyclomine HCL*</t>
  </si>
  <si>
    <t>Anidulafungin</t>
  </si>
  <si>
    <t>Iodipamide Meglumine*</t>
  </si>
  <si>
    <t>Epinephrine*</t>
  </si>
  <si>
    <t>MethylprednIsolone*</t>
  </si>
  <si>
    <t>Epirubicin HCL*</t>
  </si>
  <si>
    <t>J8610</t>
  </si>
  <si>
    <t>J0697</t>
  </si>
  <si>
    <t>J7070</t>
  </si>
  <si>
    <t>Q9963</t>
  </si>
  <si>
    <t>J1652</t>
  </si>
  <si>
    <t>J9100</t>
  </si>
  <si>
    <t>J1240</t>
  </si>
  <si>
    <t>J0476</t>
  </si>
  <si>
    <t>J9150</t>
  </si>
  <si>
    <t>J1956</t>
  </si>
  <si>
    <t>J2765</t>
  </si>
  <si>
    <t>J3471</t>
  </si>
  <si>
    <t>J2020</t>
  </si>
  <si>
    <t>J0360</t>
  </si>
  <si>
    <t>J0456</t>
  </si>
  <si>
    <t>Methotrexate (J8610)*</t>
  </si>
  <si>
    <t>Cefuroxime Sodium*</t>
  </si>
  <si>
    <t>Dextrose In Water (J7070)</t>
  </si>
  <si>
    <t>Gastrografin*</t>
  </si>
  <si>
    <t>Arixtra*</t>
  </si>
  <si>
    <t>Cytarabine*</t>
  </si>
  <si>
    <t>Dimenhydrinate</t>
  </si>
  <si>
    <t>Gablofen*</t>
  </si>
  <si>
    <t>Daunorubicin HCL</t>
  </si>
  <si>
    <t>Levofloxacin*</t>
  </si>
  <si>
    <t>Metoclopramide HCL</t>
  </si>
  <si>
    <t>Vitrase</t>
  </si>
  <si>
    <t>Havrix*</t>
  </si>
  <si>
    <t>Linezolid*</t>
  </si>
  <si>
    <t>Hydralazine HCL</t>
  </si>
  <si>
    <t>Azithromycin*</t>
  </si>
  <si>
    <t>Diatrizoate Meglumine, Sodium*</t>
  </si>
  <si>
    <t>Fondaparinux Sodium*</t>
  </si>
  <si>
    <t>Hyaluronidase,ovine</t>
  </si>
  <si>
    <t>Hepatitis A Virus Vaccine/PF*</t>
  </si>
  <si>
    <t>J2310</t>
  </si>
  <si>
    <t>J0515</t>
  </si>
  <si>
    <t>Naloxone HCL</t>
  </si>
  <si>
    <t>Benztropine Mesylate*</t>
  </si>
  <si>
    <t>J3465</t>
  </si>
  <si>
    <t>J9200</t>
  </si>
  <si>
    <t>J2791</t>
  </si>
  <si>
    <t>J2720</t>
  </si>
  <si>
    <t>J1450</t>
  </si>
  <si>
    <t>J1953</t>
  </si>
  <si>
    <t>J8540</t>
  </si>
  <si>
    <t>J0592</t>
  </si>
  <si>
    <t>Q0167</t>
  </si>
  <si>
    <t>Q4111</t>
  </si>
  <si>
    <t>J0744</t>
  </si>
  <si>
    <t>J3230</t>
  </si>
  <si>
    <t>J1230</t>
  </si>
  <si>
    <t>J0800</t>
  </si>
  <si>
    <t>J2675</t>
  </si>
  <si>
    <t>Q0162</t>
  </si>
  <si>
    <t>J1815</t>
  </si>
  <si>
    <t>J1630</t>
  </si>
  <si>
    <t>J3105</t>
  </si>
  <si>
    <t>J1120</t>
  </si>
  <si>
    <t>J0887</t>
  </si>
  <si>
    <t>Q0164</t>
  </si>
  <si>
    <t>J1160</t>
  </si>
  <si>
    <t>J2501</t>
  </si>
  <si>
    <t>J0132</t>
  </si>
  <si>
    <t>J1165</t>
  </si>
  <si>
    <t>Vfend IV*</t>
  </si>
  <si>
    <t>Floxuridine</t>
  </si>
  <si>
    <t>Rhophylac</t>
  </si>
  <si>
    <t>Protamine Sulfate</t>
  </si>
  <si>
    <t>Fluconazole In Dextrose*</t>
  </si>
  <si>
    <t>Keppra*</t>
  </si>
  <si>
    <t>Buprenex*</t>
  </si>
  <si>
    <t>Dronabinol*</t>
  </si>
  <si>
    <t>Gammagraft</t>
  </si>
  <si>
    <t>Cipro I.V.*</t>
  </si>
  <si>
    <t>Chlorpromazine HCL</t>
  </si>
  <si>
    <t>Methadone HCL</t>
  </si>
  <si>
    <t>Acthar*</t>
  </si>
  <si>
    <t>Progesterone*</t>
  </si>
  <si>
    <t>Ondansetron HCL (Q0162)*</t>
  </si>
  <si>
    <t>Fiasp*</t>
  </si>
  <si>
    <t>Haldol*</t>
  </si>
  <si>
    <t>Terbutaline Sulfate</t>
  </si>
  <si>
    <t>Acetazolamide Sodium</t>
  </si>
  <si>
    <t>Mircera (J0887)</t>
  </si>
  <si>
    <t>Prochlorperazine Maleate</t>
  </si>
  <si>
    <t>Digoxin*</t>
  </si>
  <si>
    <t>Paricalcitol*</t>
  </si>
  <si>
    <t>Acetadote*</t>
  </si>
  <si>
    <t>Phenytoin Sodium</t>
  </si>
  <si>
    <t>Voriconazole*</t>
  </si>
  <si>
    <t>Rho(D) Immune Globulin</t>
  </si>
  <si>
    <t>Fluconazole In Dextrose,Iso-Os*</t>
  </si>
  <si>
    <t>Levetiracetam*</t>
  </si>
  <si>
    <t>Buprenorphine HCL*</t>
  </si>
  <si>
    <t>Ciprofloxacin In 5 % Dextrose*</t>
  </si>
  <si>
    <t>Corticotropin*</t>
  </si>
  <si>
    <t>Haloperidol Lactate*</t>
  </si>
  <si>
    <t>Methoxy Peg-Epoetin Beta</t>
  </si>
  <si>
    <t>Acetylcysteine*</t>
  </si>
  <si>
    <t>YEAR</t>
  </si>
  <si>
    <t>BENES_FFS_CNT</t>
  </si>
  <si>
    <t>HCPCS_Desc</t>
  </si>
  <si>
    <t>Tot_Dsg_Unts_2018</t>
  </si>
  <si>
    <t>Tot_Clms_2018</t>
  </si>
  <si>
    <t>Avg_Spndng_Per_Dsg_Unt_2018</t>
  </si>
  <si>
    <t>Avg_Spndng_Per_Clm_2018</t>
  </si>
  <si>
    <t>Outlier_Flag_2018</t>
  </si>
  <si>
    <t>Tot_Dsg_Unts_2021</t>
  </si>
  <si>
    <t>Tot_Clms_2021</t>
  </si>
  <si>
    <t>Avg_Spndng_Per_Dsg_Unt_2021</t>
  </si>
  <si>
    <t>Avg_Spndng_Per_Clm_2021</t>
  </si>
  <si>
    <t>Outlier_Flag_2021</t>
  </si>
  <si>
    <t>Avg_DY21_ASP_Price</t>
  </si>
  <si>
    <t>Chg_Avg_Spndng_Per_Dsg_Unt_20_21</t>
  </si>
  <si>
    <t>CAGR_Avg_Spnd_Per_Dsg_Unt_17_21</t>
  </si>
  <si>
    <t>Injection, vedolizumab</t>
  </si>
  <si>
    <t>PROC_CD</t>
  </si>
  <si>
    <t>BRAND_NAME</t>
  </si>
  <si>
    <t>REF_PRODUCT_FLG</t>
  </si>
  <si>
    <t>REF_PRODUCT_CLASS</t>
  </si>
  <si>
    <t>PREFERRED_DRUG</t>
  </si>
  <si>
    <t>J9356</t>
  </si>
  <si>
    <t>HERCEPTIN HYLECTA</t>
  </si>
  <si>
    <t>Y</t>
  </si>
  <si>
    <t>HERCEPTIN</t>
  </si>
  <si>
    <t>N</t>
  </si>
  <si>
    <t>Q5113</t>
  </si>
  <si>
    <t>HERZUMA</t>
  </si>
  <si>
    <t>Q5114</t>
  </si>
  <si>
    <t>OGIVRI</t>
  </si>
  <si>
    <t>Q5112</t>
  </si>
  <si>
    <t>ONTRUZANT</t>
  </si>
  <si>
    <t>Q5117</t>
  </si>
  <si>
    <t>KANJINTI</t>
  </si>
  <si>
    <t>Q5116</t>
  </si>
  <si>
    <t>TRAZIMERA</t>
  </si>
  <si>
    <t>NEULASTA</t>
  </si>
  <si>
    <t>J2506</t>
  </si>
  <si>
    <t>Q5108</t>
  </si>
  <si>
    <t>FULPHILA</t>
  </si>
  <si>
    <t>Q5122</t>
  </si>
  <si>
    <t>NYVEPRIA</t>
  </si>
  <si>
    <t>Q5111</t>
  </si>
  <si>
    <t>UDENYCA</t>
  </si>
  <si>
    <t>Q5130</t>
  </si>
  <si>
    <t>FYLNETRA</t>
  </si>
  <si>
    <t>Q5127</t>
  </si>
  <si>
    <t>STIMUFEND</t>
  </si>
  <si>
    <t>C9058</t>
  </si>
  <si>
    <t>ZIEXTENZO</t>
  </si>
  <si>
    <t>Q5120</t>
  </si>
  <si>
    <t>NEUPOGEN</t>
  </si>
  <si>
    <t>Q5110</t>
  </si>
  <si>
    <t>NIVESTYM</t>
  </si>
  <si>
    <t>ZARXIO</t>
  </si>
  <si>
    <t>Q5125</t>
  </si>
  <si>
    <t>RELEUKO</t>
  </si>
  <si>
    <t>EPOGEN</t>
  </si>
  <si>
    <t>PROCRIT</t>
  </si>
  <si>
    <t>Q5105</t>
  </si>
  <si>
    <t>RETACRIT</t>
  </si>
  <si>
    <t>Q5106</t>
  </si>
  <si>
    <t>REMICADE</t>
  </si>
  <si>
    <t>Q5104</t>
  </si>
  <si>
    <t>RENFLEXIS</t>
  </si>
  <si>
    <t>Q5121</t>
  </si>
  <si>
    <t>AVSOLA</t>
  </si>
  <si>
    <t>Q5103</t>
  </si>
  <si>
    <t>INFLECTRA</t>
  </si>
  <si>
    <t>Q5109</t>
  </si>
  <si>
    <t>IXIFI</t>
  </si>
  <si>
    <t>J9312</t>
  </si>
  <si>
    <t>RITUXAN</t>
  </si>
  <si>
    <t>J9311</t>
  </si>
  <si>
    <t>RITUXAN HYCELA</t>
  </si>
  <si>
    <t>J9310</t>
  </si>
  <si>
    <t>Q5119</t>
  </si>
  <si>
    <t>RUXIENCE</t>
  </si>
  <si>
    <t>Q5115</t>
  </si>
  <si>
    <t>TRUXIMA</t>
  </si>
  <si>
    <t>Q5123</t>
  </si>
  <si>
    <t>RIABNI</t>
  </si>
  <si>
    <t>BENCHMARK_REF_PRICE</t>
  </si>
  <si>
    <t>HYPOTHETICAL_SPEND_2021</t>
  </si>
  <si>
    <t>SAVINGS_2021</t>
  </si>
  <si>
    <t>Total Spend</t>
  </si>
  <si>
    <t>FFS Benes</t>
  </si>
  <si>
    <t>PMPM</t>
  </si>
  <si>
    <t>PMPM_2018</t>
  </si>
  <si>
    <t>PMPM_2021</t>
  </si>
  <si>
    <t>Patients</t>
  </si>
  <si>
    <t>Price per Patient</t>
  </si>
  <si>
    <t>Total Spending Change</t>
  </si>
  <si>
    <t>Volume Change</t>
  </si>
  <si>
    <t>Unit Price Change</t>
  </si>
  <si>
    <t>J9144</t>
  </si>
  <si>
    <t>J9022</t>
  </si>
  <si>
    <t>J2350</t>
  </si>
  <si>
    <t>J9173</t>
  </si>
  <si>
    <t>Q5107</t>
  </si>
  <si>
    <t>J3241</t>
  </si>
  <si>
    <t>J0896</t>
  </si>
  <si>
    <t>J0517</t>
  </si>
  <si>
    <t>J3111</t>
  </si>
  <si>
    <t>J9119</t>
  </si>
  <si>
    <t>J7170</t>
  </si>
  <si>
    <t>J1303</t>
  </si>
  <si>
    <t>Q5118</t>
  </si>
  <si>
    <t>J9177</t>
  </si>
  <si>
    <t>J3245</t>
  </si>
  <si>
    <t>J7677</t>
  </si>
  <si>
    <t>J9358</t>
  </si>
  <si>
    <t>J9317</t>
  </si>
  <si>
    <t>J9223</t>
  </si>
  <si>
    <t>J0222</t>
  </si>
  <si>
    <t>J1555</t>
  </si>
  <si>
    <t>J9023</t>
  </si>
  <si>
    <t>J0179</t>
  </si>
  <si>
    <t>J3304</t>
  </si>
  <si>
    <t>J7340</t>
  </si>
  <si>
    <t>Q4186</t>
  </si>
  <si>
    <t>J9204</t>
  </si>
  <si>
    <t>J9309</t>
  </si>
  <si>
    <t>Q4196</t>
  </si>
  <si>
    <t>J9349</t>
  </si>
  <si>
    <t>J9037</t>
  </si>
  <si>
    <t>J0791</t>
  </si>
  <si>
    <t>J9227</t>
  </si>
  <si>
    <t>J0185</t>
  </si>
  <si>
    <t>J9281</t>
  </si>
  <si>
    <t>J9316</t>
  </si>
  <si>
    <t>J1301</t>
  </si>
  <si>
    <t>J1558</t>
  </si>
  <si>
    <t>J1454</t>
  </si>
  <si>
    <t>J7351</t>
  </si>
  <si>
    <t>J7209</t>
  </si>
  <si>
    <t>J9229</t>
  </si>
  <si>
    <t>J9030</t>
  </si>
  <si>
    <t>J0584</t>
  </si>
  <si>
    <t>J1823</t>
  </si>
  <si>
    <t>J7208</t>
  </si>
  <si>
    <t>J1437</t>
  </si>
  <si>
    <t>J3032</t>
  </si>
  <si>
    <t>J9036</t>
  </si>
  <si>
    <t>J3358</t>
  </si>
  <si>
    <t>J0223</t>
  </si>
  <si>
    <t>J7345</t>
  </si>
  <si>
    <t>J7179</t>
  </si>
  <si>
    <t>J2860</t>
  </si>
  <si>
    <t>J7204</t>
  </si>
  <si>
    <t>J9269</t>
  </si>
  <si>
    <t>J7175</t>
  </si>
  <si>
    <t>J9319</t>
  </si>
  <si>
    <t>J7314</t>
  </si>
  <si>
    <t>J7210</t>
  </si>
  <si>
    <t>J9153</t>
  </si>
  <si>
    <t>J7211</t>
  </si>
  <si>
    <t>J1554</t>
  </si>
  <si>
    <t>J9044</t>
  </si>
  <si>
    <t>Q4160</t>
  </si>
  <si>
    <t>J0565</t>
  </si>
  <si>
    <t>Q4187</t>
  </si>
  <si>
    <t>J1627</t>
  </si>
  <si>
    <t>J7203</t>
  </si>
  <si>
    <t>J9203</t>
  </si>
  <si>
    <t>Q4163</t>
  </si>
  <si>
    <t>J9353</t>
  </si>
  <si>
    <t>J1322</t>
  </si>
  <si>
    <t>J0642</t>
  </si>
  <si>
    <t>J1448</t>
  </si>
  <si>
    <t>J0121</t>
  </si>
  <si>
    <t>Q4145</t>
  </si>
  <si>
    <t>J1746</t>
  </si>
  <si>
    <t>Q4195</t>
  </si>
  <si>
    <t>J0714</t>
  </si>
  <si>
    <t>Q4151</t>
  </si>
  <si>
    <t>J7212</t>
  </si>
  <si>
    <t>Q4137</t>
  </si>
  <si>
    <t>J1944</t>
  </si>
  <si>
    <t>J9247</t>
  </si>
  <si>
    <t>J7402</t>
  </si>
  <si>
    <t>J7188</t>
  </si>
  <si>
    <t>J9313</t>
  </si>
  <si>
    <t>J7178</t>
  </si>
  <si>
    <t>Q9992</t>
  </si>
  <si>
    <t>Q9991</t>
  </si>
  <si>
    <t>J9198</t>
  </si>
  <si>
    <t>J9210</t>
  </si>
  <si>
    <t>A9589</t>
  </si>
  <si>
    <t>J7177</t>
  </si>
  <si>
    <t>J0741</t>
  </si>
  <si>
    <t>J0291</t>
  </si>
  <si>
    <t>J9262</t>
  </si>
  <si>
    <t>J0841</t>
  </si>
  <si>
    <t>J1201</t>
  </si>
  <si>
    <t>J0248</t>
  </si>
  <si>
    <t>J0122</t>
  </si>
  <si>
    <t>J0742</t>
  </si>
  <si>
    <t>J2798</t>
  </si>
  <si>
    <t>J0888</t>
  </si>
  <si>
    <t>J1943</t>
  </si>
  <si>
    <t>J0695</t>
  </si>
  <si>
    <t>J0691</t>
  </si>
  <si>
    <t>J7342</t>
  </si>
  <si>
    <t>J1270</t>
  </si>
  <si>
    <t>Darzalex Faspro</t>
  </si>
  <si>
    <t>Rituxan</t>
  </si>
  <si>
    <t>Tecentriq</t>
  </si>
  <si>
    <t>Ocrevus</t>
  </si>
  <si>
    <t>Imfinzi</t>
  </si>
  <si>
    <t>Mvasi</t>
  </si>
  <si>
    <t>Tepezza</t>
  </si>
  <si>
    <t>Ruxience</t>
  </si>
  <si>
    <t>Fluad Quad 2020-2021*</t>
  </si>
  <si>
    <t>Reblozyl</t>
  </si>
  <si>
    <t>Truxima</t>
  </si>
  <si>
    <t>Fasenra</t>
  </si>
  <si>
    <t>Evenity (2 Syringes)</t>
  </si>
  <si>
    <t>Libtayo</t>
  </si>
  <si>
    <t>Hemlibra</t>
  </si>
  <si>
    <t>Ultomiris</t>
  </si>
  <si>
    <t>Zirabev</t>
  </si>
  <si>
    <t>Udenyca</t>
  </si>
  <si>
    <t>Kanjinti</t>
  </si>
  <si>
    <t>Padcev</t>
  </si>
  <si>
    <t>Ilumya</t>
  </si>
  <si>
    <t>Yupelri</t>
  </si>
  <si>
    <t>Enhertu</t>
  </si>
  <si>
    <t>Trodelvy</t>
  </si>
  <si>
    <t>Zepzelca</t>
  </si>
  <si>
    <t>Retacrit (Q5106)</t>
  </si>
  <si>
    <t>Ziextenzo</t>
  </si>
  <si>
    <t>Onpattro</t>
  </si>
  <si>
    <t>Cuvitru</t>
  </si>
  <si>
    <t>Bavencio</t>
  </si>
  <si>
    <t>Fulphila</t>
  </si>
  <si>
    <t>Inflectra</t>
  </si>
  <si>
    <t>Rituxan Hycela</t>
  </si>
  <si>
    <t>Beovu</t>
  </si>
  <si>
    <t>Zilretta</t>
  </si>
  <si>
    <t>Trazimera</t>
  </si>
  <si>
    <t>Duopa</t>
  </si>
  <si>
    <t>Epifix 1 sq cm</t>
  </si>
  <si>
    <t>Poteligeo</t>
  </si>
  <si>
    <t>Renflexis</t>
  </si>
  <si>
    <t>Ogivri</t>
  </si>
  <si>
    <t>Polivy</t>
  </si>
  <si>
    <t>Puraply am 1 sq cm</t>
  </si>
  <si>
    <t>Monjuvi</t>
  </si>
  <si>
    <t>Blenrep</t>
  </si>
  <si>
    <t>Adakveo</t>
  </si>
  <si>
    <t>Sarclisa</t>
  </si>
  <si>
    <t>Cinvanti</t>
  </si>
  <si>
    <t>Nyvepria</t>
  </si>
  <si>
    <t>Jelmyto</t>
  </si>
  <si>
    <t>Phesgo</t>
  </si>
  <si>
    <t>Radicava</t>
  </si>
  <si>
    <t>Xembify</t>
  </si>
  <si>
    <t>Akynzeo (J1454)</t>
  </si>
  <si>
    <t>Durysta</t>
  </si>
  <si>
    <t>Herceptin Hylecta</t>
  </si>
  <si>
    <t>Nuwiq</t>
  </si>
  <si>
    <t>Besponsa</t>
  </si>
  <si>
    <t>BCG (Tice Strain)*</t>
  </si>
  <si>
    <t>Crysvita</t>
  </si>
  <si>
    <t>Uplizna</t>
  </si>
  <si>
    <t>Jivi</t>
  </si>
  <si>
    <t>Monoferric</t>
  </si>
  <si>
    <t>Vyepti</t>
  </si>
  <si>
    <t>Belrapzo*</t>
  </si>
  <si>
    <t>Stelara (J3358)</t>
  </si>
  <si>
    <t>Riabni</t>
  </si>
  <si>
    <t>Ontruzant</t>
  </si>
  <si>
    <t>Givlaari</t>
  </si>
  <si>
    <t>Ameluz</t>
  </si>
  <si>
    <t>Avsola</t>
  </si>
  <si>
    <t>Vonvendi</t>
  </si>
  <si>
    <t>Flucelvax Quad 2017-2018*</t>
  </si>
  <si>
    <t>Sylvant</t>
  </si>
  <si>
    <t>Esperoct</t>
  </si>
  <si>
    <t>Elzonris</t>
  </si>
  <si>
    <t>Herzuma</t>
  </si>
  <si>
    <t>Coagadex</t>
  </si>
  <si>
    <t>Istodax*</t>
  </si>
  <si>
    <t>Yutiq</t>
  </si>
  <si>
    <t>Afstyla</t>
  </si>
  <si>
    <t>Vyxeos</t>
  </si>
  <si>
    <t>Kovaltry</t>
  </si>
  <si>
    <t>Asceniv</t>
  </si>
  <si>
    <t>Nivestym</t>
  </si>
  <si>
    <t>Nushield 1 square cm</t>
  </si>
  <si>
    <t>Zinplava</t>
  </si>
  <si>
    <t>Epicord 1 sq cm</t>
  </si>
  <si>
    <t>Sustol</t>
  </si>
  <si>
    <t>Rebinyn</t>
  </si>
  <si>
    <t>Mylotarg</t>
  </si>
  <si>
    <t>Woundex, bioskin, per sq cm</t>
  </si>
  <si>
    <t>Margenza</t>
  </si>
  <si>
    <t>Vimizim</t>
  </si>
  <si>
    <t>Khapzory</t>
  </si>
  <si>
    <t>Cosela</t>
  </si>
  <si>
    <t>Nuzyra</t>
  </si>
  <si>
    <t>Epifix, inj, 1mg</t>
  </si>
  <si>
    <t>Trogarzo</t>
  </si>
  <si>
    <t>Puraply 1 sq cm</t>
  </si>
  <si>
    <t>Avycaz</t>
  </si>
  <si>
    <t>Amnioband, guardian 1 sq cm</t>
  </si>
  <si>
    <t>Sevenfact</t>
  </si>
  <si>
    <t>Amnioexcel biodexcel 1sq cm</t>
  </si>
  <si>
    <t>Retacrit (Q5105)</t>
  </si>
  <si>
    <t>Aristada</t>
  </si>
  <si>
    <t>Pepaxto</t>
  </si>
  <si>
    <t>Sinuva</t>
  </si>
  <si>
    <t>Obizur</t>
  </si>
  <si>
    <t>Lumoxiti</t>
  </si>
  <si>
    <t>Riastap</t>
  </si>
  <si>
    <t>Sublocade (Q9992)</t>
  </si>
  <si>
    <t>Sublocade (Q9991)</t>
  </si>
  <si>
    <t>Infugem</t>
  </si>
  <si>
    <t>Gamifant</t>
  </si>
  <si>
    <t>Cysview</t>
  </si>
  <si>
    <t>Prevnar 20</t>
  </si>
  <si>
    <t>Fibryga</t>
  </si>
  <si>
    <t>Cabenuva</t>
  </si>
  <si>
    <t>Zemdri</t>
  </si>
  <si>
    <t>Synribo</t>
  </si>
  <si>
    <t>Anavip</t>
  </si>
  <si>
    <t>Quzyttir</t>
  </si>
  <si>
    <t>Veklury</t>
  </si>
  <si>
    <t>Xerava</t>
  </si>
  <si>
    <t>Kedrab</t>
  </si>
  <si>
    <t>Recarbrio</t>
  </si>
  <si>
    <t>Perseris</t>
  </si>
  <si>
    <t>Mircera (J0888)</t>
  </si>
  <si>
    <t>Aristada Initio</t>
  </si>
  <si>
    <t>Zerbaxa</t>
  </si>
  <si>
    <t>Xenleta</t>
  </si>
  <si>
    <t>Otiprio</t>
  </si>
  <si>
    <t>Doxercalciferol*</t>
  </si>
  <si>
    <t>PMPM_CHANGE</t>
  </si>
  <si>
    <t>REF_PRODUCT_FLAG</t>
  </si>
  <si>
    <t>Daratumumab-Hyaluronidase-Fihj</t>
  </si>
  <si>
    <t>Rituximab</t>
  </si>
  <si>
    <t>Atezolizumab</t>
  </si>
  <si>
    <t>Ocrelizumab</t>
  </si>
  <si>
    <t>Durvalumab</t>
  </si>
  <si>
    <t>Bevacizumab-Awwb</t>
  </si>
  <si>
    <t>Teprotumumab-Trbw</t>
  </si>
  <si>
    <t>Rituximab-Pvvr</t>
  </si>
  <si>
    <t>Flu Vacc QS2020(65up)/Mf59c/PF*</t>
  </si>
  <si>
    <t>Luspatercept-Aamt</t>
  </si>
  <si>
    <t>Rituximab-Abbs</t>
  </si>
  <si>
    <t>Benralizumab</t>
  </si>
  <si>
    <t>Romosozumab-Aqqg</t>
  </si>
  <si>
    <t>Cemiplimab-Rwlc</t>
  </si>
  <si>
    <t>Emicizumab-Kxwh</t>
  </si>
  <si>
    <t>Ravulizumab-Cwvz</t>
  </si>
  <si>
    <t>Bevacizumab-Bvzr</t>
  </si>
  <si>
    <t>Pegfilgrastim-Cbqv</t>
  </si>
  <si>
    <t>Trastuzumab-Anns</t>
  </si>
  <si>
    <t>Enfortumab Vedotin-Ejfv</t>
  </si>
  <si>
    <t>Tildrakizumab-Asmn</t>
  </si>
  <si>
    <t>Revefenacin</t>
  </si>
  <si>
    <t>Fam-Trastuzumab Deruxtecn-Nxki</t>
  </si>
  <si>
    <t>Sacituzumab Govitecan-Hziy</t>
  </si>
  <si>
    <t>Lurbinectedin</t>
  </si>
  <si>
    <t>Epoetin Alfa-Epbx</t>
  </si>
  <si>
    <t>Pegfilgrastim-Bmez</t>
  </si>
  <si>
    <t>Patisiran Sodium,lipid Complex</t>
  </si>
  <si>
    <t>Avelumab</t>
  </si>
  <si>
    <t>Pegfilgrastim-Jmdb</t>
  </si>
  <si>
    <t>Infliximab-Dyyb</t>
  </si>
  <si>
    <t>Rituximab/Hyaluronidase,human</t>
  </si>
  <si>
    <t>Brolucizumab-Dbll</t>
  </si>
  <si>
    <t>Triamcinolone Acetonide</t>
  </si>
  <si>
    <t>Trastuzumab-Qyyp</t>
  </si>
  <si>
    <t>Carbidopa/Levodopa</t>
  </si>
  <si>
    <t>Mogamulizumab-Kpkc</t>
  </si>
  <si>
    <t>Infliximab-Abda</t>
  </si>
  <si>
    <t>Trastuzumab-Dkst</t>
  </si>
  <si>
    <t>Polatuzumab Vedotin-Piiq</t>
  </si>
  <si>
    <t>Tafasitamab-Cxix</t>
  </si>
  <si>
    <t>Belantamab Mafodotin-Blmf</t>
  </si>
  <si>
    <t>Crizanlizumab-Tmca</t>
  </si>
  <si>
    <t>Isatuximab-Irfc</t>
  </si>
  <si>
    <t>Aprepitant</t>
  </si>
  <si>
    <t>Pegfilgrastim-Apgf</t>
  </si>
  <si>
    <t>Mitomycin</t>
  </si>
  <si>
    <t>Pertuzumab-Trastuzumab-Hy-Zzxf</t>
  </si>
  <si>
    <t>Edaravone</t>
  </si>
  <si>
    <t>Immune Globulin,gamma(Igg)klhw</t>
  </si>
  <si>
    <t>Fosnetupitant/Palonosetron</t>
  </si>
  <si>
    <t>Bimatoprost</t>
  </si>
  <si>
    <t>Trastuzumab-Hyaluronidase-Oysk</t>
  </si>
  <si>
    <t>Antihemoph.FVIII,hek B-Delete</t>
  </si>
  <si>
    <t>Inotuzumab Ozogamicin</t>
  </si>
  <si>
    <t>BCG Live*</t>
  </si>
  <si>
    <t>Burosumab-Twza</t>
  </si>
  <si>
    <t>Inebilizumab-Cdon</t>
  </si>
  <si>
    <t>FVIII Rec,b-Dom Delet Peg-Aucl</t>
  </si>
  <si>
    <t>Ferric DerIsomaltose</t>
  </si>
  <si>
    <t>Eptinezumab-Jjmr</t>
  </si>
  <si>
    <t>Bendamustine HCL*</t>
  </si>
  <si>
    <t>Rituximab-Arrx</t>
  </si>
  <si>
    <t>Trastuzumab-Dttb</t>
  </si>
  <si>
    <t>Givosiran Sodium</t>
  </si>
  <si>
    <t>Infliximab-Axxq</t>
  </si>
  <si>
    <t>Von Willebrand Factor</t>
  </si>
  <si>
    <t>Flu Vac QS 17-18 (4yr Up) CELl*</t>
  </si>
  <si>
    <t>Siltuximab</t>
  </si>
  <si>
    <t>FVIII Rec,b-Dom Trunc Peg-Exei</t>
  </si>
  <si>
    <t>Tagraxofusp-Erzs</t>
  </si>
  <si>
    <t>Trastuzumab-Pkrb</t>
  </si>
  <si>
    <t>Coagulation Factor X</t>
  </si>
  <si>
    <t>Romidepsin*</t>
  </si>
  <si>
    <t>Antihem.FVIII,sin-Chn,b-Dm Tru</t>
  </si>
  <si>
    <t>Daunorubicin/Cytarabine Lipos</t>
  </si>
  <si>
    <t>Antihemophil.FVIII,full Length</t>
  </si>
  <si>
    <t>Immune Globulin,gamma(Igg)slra</t>
  </si>
  <si>
    <t>Filgrastim-Aafi</t>
  </si>
  <si>
    <t>Bezlotoxumab</t>
  </si>
  <si>
    <t>Granisetron</t>
  </si>
  <si>
    <t>Factor IX Human Rec,pegylated</t>
  </si>
  <si>
    <t>Gemtuzumab Ozogamicin</t>
  </si>
  <si>
    <t>Margetuximab-Cmkb</t>
  </si>
  <si>
    <t>Elosulfase Alfa</t>
  </si>
  <si>
    <t>Levoleucovorin</t>
  </si>
  <si>
    <t>Trilaciclib Dihydrochloride</t>
  </si>
  <si>
    <t>Omadacycline Tosylate</t>
  </si>
  <si>
    <t>Ibalizumab-Uiyk</t>
  </si>
  <si>
    <t>Ceftazidime/Avibactam</t>
  </si>
  <si>
    <t>Coagulation VIIA,recomb-Jncw</t>
  </si>
  <si>
    <t>Aripiprazole Lauroxil</t>
  </si>
  <si>
    <t>Melphalan Flufenamide HCL</t>
  </si>
  <si>
    <t>Mometasone Furoate</t>
  </si>
  <si>
    <t>Antihemophilic FVIII,rec Porc</t>
  </si>
  <si>
    <t>Moxetumomab Pasudotox-Tdfk</t>
  </si>
  <si>
    <t>Fibrinogen</t>
  </si>
  <si>
    <t>Buprenorphine</t>
  </si>
  <si>
    <t>Gemcitabine HCL In 0.9 % NaCl</t>
  </si>
  <si>
    <t>Emapalumab-Lzsg</t>
  </si>
  <si>
    <t>Hexaminolevulinate HCL</t>
  </si>
  <si>
    <t>Pneumoc 20-Val Conj-Dip Crm/PF</t>
  </si>
  <si>
    <t>Cabotegravir/Rilpivirine</t>
  </si>
  <si>
    <t>Plazomicin Sulfate</t>
  </si>
  <si>
    <t>Omacetaxine Mepesuccinate</t>
  </si>
  <si>
    <t>Antivenin,crotalidae (Equine)</t>
  </si>
  <si>
    <t>Cetirizine HCL</t>
  </si>
  <si>
    <t>Remdesivir</t>
  </si>
  <si>
    <t>Eravacycline Di-Hydrochloride</t>
  </si>
  <si>
    <t>Imipenem/Cilastatin/Relebactam</t>
  </si>
  <si>
    <t>Risperidone</t>
  </si>
  <si>
    <t>Aripiprazole Lauroxil,submicr.</t>
  </si>
  <si>
    <t>Ceftolozane/Tazobactam</t>
  </si>
  <si>
    <t>Lefamulin Acetate</t>
  </si>
  <si>
    <t>Ciprofloxacin</t>
  </si>
  <si>
    <t xml:space="preserve"> </t>
  </si>
  <si>
    <t>Total Savings</t>
  </si>
  <si>
    <t>% of Change</t>
  </si>
  <si>
    <t>Total Change</t>
  </si>
  <si>
    <t>TOP 10 MEDICATIONS WITH THE HIGHEST PMPM INCREASE (2018-2021)</t>
  </si>
  <si>
    <t>ENTYVIO ANALYSIS</t>
  </si>
  <si>
    <t>2021 BIOSIMILAR GROSS IMPACT ANALYSIS</t>
  </si>
  <si>
    <t>PMPM COST CHANGE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</si>
</sst>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49" fontId="0" fillId="0" borderId="3" xfId="0" applyNumberFormat="1" applyBorder="1"/>
    <xf numFmtId="0" fontId="0" fillId="0" borderId="3" xfId="0" applyBorder="1"/>
    <xf numFmtId="49" fontId="0" fillId="3" borderId="2" xfId="0" applyNumberFormat="1" applyFill="1" applyBorder="1"/>
    <xf numFmtId="0" fontId="0" fillId="3" borderId="2" xfId="0" applyFill="1" applyBorder="1"/>
    <xf numFmtId="0" fontId="0" fillId="3" borderId="4" xfId="0" applyFill="1" applyBorder="1"/>
    <xf numFmtId="49" fontId="0" fillId="2" borderId="1" xfId="0" applyNumberFormat="1" applyFill="1" applyBorder="1"/>
    <xf numFmtId="0" fontId="0" fillId="2" borderId="1" xfId="0" applyFill="1" applyBorder="1"/>
    <xf numFmtId="0" fontId="0" fillId="2" borderId="5" xfId="0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0" fillId="3" borderId="5" xfId="0" applyFill="1" applyBorder="1"/>
    <xf numFmtId="0" fontId="0" fillId="4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8" xfId="0" applyFill="1" applyBorder="1"/>
    <xf numFmtId="0" fontId="0" fillId="4" borderId="16" xfId="0" applyFill="1" applyBorder="1"/>
    <xf numFmtId="0" fontId="1" fillId="4" borderId="17" xfId="0" applyFont="1" applyFill="1" applyBorder="1"/>
    <xf numFmtId="0" fontId="0" fillId="5" borderId="18" xfId="0" applyFill="1" applyBorder="1"/>
    <xf numFmtId="0" fontId="1" fillId="5" borderId="19" xfId="0" applyFont="1" applyFill="1" applyBorder="1"/>
    <xf numFmtId="0" fontId="0" fillId="4" borderId="18" xfId="0" applyFill="1" applyBorder="1"/>
    <xf numFmtId="0" fontId="1" fillId="4" borderId="19" xfId="0" applyFont="1" applyFill="1" applyBorder="1"/>
    <xf numFmtId="0" fontId="0" fillId="5" borderId="20" xfId="0" applyFill="1" applyBorder="1"/>
    <xf numFmtId="0" fontId="0" fillId="5" borderId="3" xfId="0" applyFill="1" applyBorder="1"/>
    <xf numFmtId="0" fontId="1" fillId="5" borderId="21" xfId="0" applyFont="1" applyFill="1" applyBorder="1"/>
    <xf numFmtId="0" fontId="0" fillId="6" borderId="2" xfId="0" applyFill="1" applyBorder="1"/>
    <xf numFmtId="0" fontId="1" fillId="2" borderId="3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7" borderId="1" xfId="0" applyFill="1" applyBorder="1"/>
    <xf numFmtId="0" fontId="1" fillId="7" borderId="1" xfId="0" applyFon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/>
    <xf numFmtId="0" fontId="1" fillId="8" borderId="1" xfId="0" applyFont="1" applyFill="1" applyBorder="1" applyAlignment="1">
      <alignment horizontal="center"/>
    </xf>
    <xf numFmtId="49" fontId="1" fillId="7" borderId="6" xfId="0" applyNumberFormat="1" applyFont="1" applyFill="1" applyBorder="1"/>
    <xf numFmtId="0" fontId="1" fillId="7" borderId="6" xfId="0" applyFont="1" applyFill="1" applyBorder="1"/>
    <xf numFmtId="0" fontId="1" fillId="7" borderId="22" xfId="0" applyFont="1" applyFill="1" applyBorder="1"/>
    <xf numFmtId="0" fontId="1" fillId="7" borderId="13" xfId="0" applyFont="1" applyFill="1" applyBorder="1"/>
    <xf numFmtId="0" fontId="1" fillId="7" borderId="14" xfId="0" applyFont="1" applyFill="1" applyBorder="1"/>
    <xf numFmtId="0" fontId="1" fillId="7" borderId="15" xfId="0" applyFont="1" applyFill="1" applyBorder="1"/>
    <xf numFmtId="0" fontId="0" fillId="7" borderId="3" xfId="0" applyFill="1" applyBorder="1"/>
    <xf numFmtId="0" fontId="1" fillId="9" borderId="27" xfId="0" applyFont="1" applyFill="1" applyBorder="1"/>
    <xf numFmtId="0" fontId="0" fillId="9" borderId="1" xfId="0" applyFill="1" applyBorder="1"/>
    <xf numFmtId="0" fontId="0" fillId="9" borderId="28" xfId="0" applyFill="1" applyBorder="1"/>
    <xf numFmtId="0" fontId="1" fillId="10" borderId="27" xfId="0" applyFont="1" applyFill="1" applyBorder="1"/>
    <xf numFmtId="0" fontId="0" fillId="10" borderId="1" xfId="0" applyFill="1" applyBorder="1"/>
    <xf numFmtId="0" fontId="0" fillId="10" borderId="28" xfId="0" applyFill="1" applyBorder="1"/>
    <xf numFmtId="0" fontId="1" fillId="10" borderId="29" xfId="0" applyFont="1" applyFill="1" applyBorder="1"/>
    <xf numFmtId="0" fontId="0" fillId="10" borderId="3" xfId="0" applyFill="1" applyBorder="1"/>
    <xf numFmtId="0" fontId="0" fillId="10" borderId="30" xfId="0" applyFill="1" applyBorder="1"/>
    <xf numFmtId="0" fontId="0" fillId="11" borderId="8" xfId="0" applyFill="1" applyBorder="1"/>
    <xf numFmtId="0" fontId="0" fillId="11" borderId="1" xfId="0" applyFill="1" applyBorder="1"/>
    <xf numFmtId="0" fontId="0" fillId="11" borderId="7" xfId="0" applyFill="1" applyBorder="1"/>
    <xf numFmtId="0" fontId="0" fillId="11" borderId="2" xfId="0" applyFill="1" applyBorder="1"/>
    <xf numFmtId="0" fontId="1" fillId="7" borderId="31" xfId="0" applyFont="1" applyFill="1" applyBorder="1"/>
    <xf numFmtId="0" fontId="3" fillId="12" borderId="25" xfId="0" applyFont="1" applyFill="1" applyBorder="1"/>
    <xf numFmtId="0" fontId="3" fillId="12" borderId="26" xfId="0" applyFont="1" applyFill="1" applyBorder="1"/>
    <xf numFmtId="0" fontId="2" fillId="12" borderId="24" xfId="0" applyFont="1" applyFill="1" applyBorder="1"/>
    <xf numFmtId="0" fontId="1" fillId="12" borderId="13" xfId="0" applyFont="1" applyFill="1" applyBorder="1"/>
    <xf numFmtId="0" fontId="1" fillId="12" borderId="14" xfId="0" applyFont="1" applyFill="1" applyBorder="1"/>
    <xf numFmtId="0" fontId="1" fillId="12" borderId="15" xfId="0" applyFont="1" applyFill="1" applyBorder="1"/>
    <xf numFmtId="0" fontId="1" fillId="12" borderId="11" xfId="0" applyFont="1" applyFill="1" applyBorder="1" applyAlignment="1">
      <alignment horizontal="center"/>
    </xf>
    <xf numFmtId="164" fontId="1" fillId="12" borderId="12" xfId="0" applyNumberFormat="1" applyFont="1" applyFill="1" applyBorder="1"/>
    <xf numFmtId="164" fontId="0" fillId="5" borderId="1" xfId="0" applyNumberFormat="1" applyFill="1" applyBorder="1"/>
    <xf numFmtId="0" fontId="1" fillId="12" borderId="9" xfId="0" applyFont="1" applyFill="1" applyBorder="1"/>
    <xf numFmtId="164" fontId="1" fillId="12" borderId="10" xfId="0" applyNumberFormat="1" applyFont="1" applyFill="1" applyBorder="1"/>
    <xf numFmtId="0" fontId="1" fillId="10" borderId="2" xfId="0" applyFont="1" applyFill="1" applyBorder="1" applyAlignment="1">
      <alignment horizontal="center"/>
    </xf>
    <xf numFmtId="10" fontId="1" fillId="10" borderId="2" xfId="0" applyNumberFormat="1" applyFont="1" applyFill="1" applyBorder="1" applyAlignment="1">
      <alignment horizontal="center"/>
    </xf>
    <xf numFmtId="164" fontId="1" fillId="12" borderId="13" xfId="0" applyNumberFormat="1" applyFont="1" applyFill="1" applyBorder="1"/>
    <xf numFmtId="164" fontId="1" fillId="12" borderId="14" xfId="0" applyNumberFormat="1" applyFont="1" applyFill="1" applyBorder="1"/>
    <xf numFmtId="164" fontId="1" fillId="12" borderId="15" xfId="0" applyNumberFormat="1" applyFont="1" applyFill="1" applyBorder="1"/>
    <xf numFmtId="164" fontId="0" fillId="0" borderId="0" xfId="0" applyNumberFormat="1"/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8427-9247-4404-9EA7-01EBCD3FF8DA}">
  <dimension ref="A1:Y618"/>
  <sheetViews>
    <sheetView topLeftCell="J1" workbookViewId="0">
      <selection activeCell="Q2" sqref="Q2:R11"/>
    </sheetView>
  </sheetViews>
  <sheetFormatPr defaultRowHeight="15" x14ac:dyDescent="0.25"/>
  <cols>
    <col min="1" max="1" width="12.42578125" bestFit="1" customWidth="1"/>
    <col min="2" max="3" width="17.5703125" bestFit="1" customWidth="1"/>
    <col min="11" max="11" width="5.42578125" bestFit="1" customWidth="1"/>
    <col min="12" max="12" width="15.28515625" bestFit="1" customWidth="1"/>
    <col min="14" max="14" width="11.42578125" bestFit="1" customWidth="1"/>
    <col min="15" max="15" width="15.28515625" bestFit="1" customWidth="1"/>
    <col min="16" max="16" width="4" customWidth="1"/>
    <col min="17" max="17" width="9.85546875" bestFit="1" customWidth="1"/>
    <col min="18" max="18" width="38.7109375" bestFit="1" customWidth="1"/>
    <col min="19" max="19" width="32.42578125" bestFit="1" customWidth="1"/>
    <col min="20" max="20" width="16.140625" bestFit="1" customWidth="1"/>
    <col min="21" max="21" width="14.85546875" bestFit="1" customWidth="1"/>
    <col min="22" max="22" width="25.7109375" bestFit="1" customWidth="1"/>
    <col min="23" max="23" width="16.140625" bestFit="1" customWidth="1"/>
    <col min="24" max="24" width="14.85546875" bestFit="1" customWidth="1"/>
    <col min="25" max="25" width="25.7109375" bestFit="1" customWidth="1"/>
  </cols>
  <sheetData>
    <row r="1" spans="1:25" ht="15.75" thickBot="1" x14ac:dyDescent="0.3">
      <c r="A1" s="78" t="s">
        <v>1756</v>
      </c>
      <c r="B1" s="78"/>
      <c r="C1" s="78"/>
      <c r="N1" s="7" t="s">
        <v>1292</v>
      </c>
      <c r="O1" s="7" t="s">
        <v>1293</v>
      </c>
      <c r="Q1" s="7" t="s">
        <v>0</v>
      </c>
      <c r="R1" s="7" t="s">
        <v>5</v>
      </c>
      <c r="S1" s="7" t="s">
        <v>10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</row>
    <row r="2" spans="1:25" x14ac:dyDescent="0.25">
      <c r="A2" s="34"/>
      <c r="B2" s="35">
        <v>2018</v>
      </c>
      <c r="C2" s="35">
        <v>2021</v>
      </c>
      <c r="N2" s="5">
        <v>2018</v>
      </c>
      <c r="O2" s="5">
        <v>33503234</v>
      </c>
      <c r="Q2" s="5" t="s">
        <v>1</v>
      </c>
      <c r="R2" s="5" t="s">
        <v>6</v>
      </c>
      <c r="S2" s="5" t="s">
        <v>11</v>
      </c>
      <c r="T2" s="5">
        <v>1813727267</v>
      </c>
      <c r="U2" s="5">
        <v>35491</v>
      </c>
      <c r="V2" s="5">
        <v>51103.864829999999</v>
      </c>
      <c r="W2" s="5">
        <v>3966530837</v>
      </c>
      <c r="X2" s="5">
        <v>62830</v>
      </c>
      <c r="Y2" s="5">
        <v>63131.160860000004</v>
      </c>
    </row>
    <row r="3" spans="1:25" x14ac:dyDescent="0.25">
      <c r="A3" s="33" t="s">
        <v>1378</v>
      </c>
      <c r="B3" s="69">
        <f>SUM(T:T)</f>
        <v>31198753469.330044</v>
      </c>
      <c r="C3" s="69">
        <f>SUM(W:W)</f>
        <v>40140960792.410103</v>
      </c>
      <c r="N3" s="3">
        <v>2021</v>
      </c>
      <c r="O3" s="3">
        <v>30900379</v>
      </c>
      <c r="Q3" s="3" t="s">
        <v>2</v>
      </c>
      <c r="R3" s="3" t="s">
        <v>7</v>
      </c>
      <c r="S3" s="3" t="s">
        <v>12</v>
      </c>
      <c r="T3" s="3">
        <v>2573938387</v>
      </c>
      <c r="U3" s="3">
        <v>240910</v>
      </c>
      <c r="V3" s="3">
        <v>10684.23223</v>
      </c>
      <c r="W3" s="3">
        <v>3415890772</v>
      </c>
      <c r="X3" s="3">
        <v>309699</v>
      </c>
      <c r="Y3" s="3">
        <v>11029.71199</v>
      </c>
    </row>
    <row r="4" spans="1:25" x14ac:dyDescent="0.25">
      <c r="A4" s="32" t="s">
        <v>1379</v>
      </c>
      <c r="B4" s="18">
        <v>33503234</v>
      </c>
      <c r="C4" s="18">
        <v>30900379</v>
      </c>
      <c r="Q4" s="3" t="s">
        <v>3</v>
      </c>
      <c r="R4" s="3" t="s">
        <v>8</v>
      </c>
      <c r="S4" s="3" t="s">
        <v>13</v>
      </c>
      <c r="T4" s="3">
        <v>1416968973</v>
      </c>
      <c r="U4" s="3">
        <v>533286</v>
      </c>
      <c r="V4" s="3">
        <v>2657.0526369999998</v>
      </c>
      <c r="W4" s="3">
        <v>1780811015</v>
      </c>
      <c r="X4" s="3">
        <v>629724</v>
      </c>
      <c r="Y4" s="3">
        <v>2827.9230499999999</v>
      </c>
    </row>
    <row r="5" spans="1:25" x14ac:dyDescent="0.25">
      <c r="A5" s="33" t="s">
        <v>1380</v>
      </c>
      <c r="B5" s="69">
        <f>B3/(B4*12)</f>
        <v>77.601348050285836</v>
      </c>
      <c r="C5" s="69">
        <f>C3/(C4*12)</f>
        <v>108.25369054645496</v>
      </c>
      <c r="Q5" s="3" t="s">
        <v>4</v>
      </c>
      <c r="R5" s="3" t="s">
        <v>9</v>
      </c>
      <c r="S5" s="3" t="s">
        <v>14</v>
      </c>
      <c r="T5" s="3">
        <v>1715907188</v>
      </c>
      <c r="U5" s="3">
        <v>32846</v>
      </c>
      <c r="V5" s="3">
        <v>52240.978750000002</v>
      </c>
      <c r="W5" s="3">
        <v>1573611853</v>
      </c>
      <c r="X5" s="3">
        <v>25426</v>
      </c>
      <c r="Y5" s="3">
        <v>61889.870710000003</v>
      </c>
    </row>
    <row r="6" spans="1:25" ht="15.75" thickBot="1" x14ac:dyDescent="0.3">
      <c r="Q6" s="3" t="s">
        <v>1388</v>
      </c>
      <c r="R6" s="3" t="s">
        <v>1498</v>
      </c>
      <c r="S6" s="3" t="s">
        <v>1634</v>
      </c>
      <c r="T6" s="3"/>
      <c r="U6" s="3"/>
      <c r="V6" s="3"/>
      <c r="W6" s="3">
        <v>1046702030</v>
      </c>
      <c r="X6" s="3">
        <v>12490</v>
      </c>
      <c r="Y6" s="3">
        <v>83803.204949999999</v>
      </c>
    </row>
    <row r="7" spans="1:25" ht="15.75" thickBot="1" x14ac:dyDescent="0.3">
      <c r="A7" s="70" t="s">
        <v>1752</v>
      </c>
      <c r="B7" s="71">
        <f>C5-B5</f>
        <v>30.652342496169126</v>
      </c>
      <c r="Q7" s="3" t="s">
        <v>21</v>
      </c>
      <c r="R7" s="3" t="s">
        <v>23</v>
      </c>
      <c r="S7" s="3" t="s">
        <v>25</v>
      </c>
      <c r="T7" s="3">
        <v>1215701656</v>
      </c>
      <c r="U7" s="3">
        <v>123389</v>
      </c>
      <c r="V7" s="3">
        <v>9852.5934749999997</v>
      </c>
      <c r="W7" s="3">
        <v>1044929993</v>
      </c>
      <c r="X7" s="3">
        <v>114432</v>
      </c>
      <c r="Y7" s="3">
        <v>9131.4491870000002</v>
      </c>
    </row>
    <row r="8" spans="1:25" x14ac:dyDescent="0.25">
      <c r="Q8" s="3" t="s">
        <v>22</v>
      </c>
      <c r="R8" s="3" t="s">
        <v>24</v>
      </c>
      <c r="S8" s="3" t="s">
        <v>26</v>
      </c>
      <c r="T8" s="3">
        <v>799286086.60000002</v>
      </c>
      <c r="U8" s="3">
        <v>26726</v>
      </c>
      <c r="V8" s="3">
        <v>29906.685870000001</v>
      </c>
      <c r="W8" s="3">
        <v>988943741.60000002</v>
      </c>
      <c r="X8" s="3">
        <v>31429</v>
      </c>
      <c r="Y8" s="3">
        <v>31465.9627</v>
      </c>
    </row>
    <row r="9" spans="1:25" x14ac:dyDescent="0.25">
      <c r="Q9" s="3" t="s">
        <v>1364</v>
      </c>
      <c r="R9" s="3" t="s">
        <v>1499</v>
      </c>
      <c r="S9" s="3" t="s">
        <v>1635</v>
      </c>
      <c r="T9" s="3"/>
      <c r="U9" s="3"/>
      <c r="V9" s="3"/>
      <c r="W9" s="3">
        <v>765560205.60000002</v>
      </c>
      <c r="X9" s="3">
        <v>36383</v>
      </c>
      <c r="Y9" s="3">
        <v>21041.700949999999</v>
      </c>
    </row>
    <row r="10" spans="1:25" x14ac:dyDescent="0.25">
      <c r="Q10" s="3" t="s">
        <v>1389</v>
      </c>
      <c r="R10" s="3" t="s">
        <v>1500</v>
      </c>
      <c r="S10" s="3" t="s">
        <v>1636</v>
      </c>
      <c r="T10" s="3">
        <v>240758211.59999999</v>
      </c>
      <c r="U10" s="3">
        <v>4896</v>
      </c>
      <c r="V10" s="3">
        <v>49174.47133</v>
      </c>
      <c r="W10" s="3">
        <v>656074898.5</v>
      </c>
      <c r="X10" s="3">
        <v>12580</v>
      </c>
      <c r="Y10" s="3">
        <v>52152.217689999998</v>
      </c>
    </row>
    <row r="11" spans="1:25" x14ac:dyDescent="0.25">
      <c r="Q11" s="3" t="s">
        <v>27</v>
      </c>
      <c r="R11" s="3" t="s">
        <v>28</v>
      </c>
      <c r="S11" s="3" t="s">
        <v>29</v>
      </c>
      <c r="T11" s="3">
        <v>395796137.30000001</v>
      </c>
      <c r="U11" s="3">
        <v>1161</v>
      </c>
      <c r="V11" s="3">
        <v>340909.6789</v>
      </c>
      <c r="W11" s="3">
        <v>642451165.89999998</v>
      </c>
      <c r="X11" s="3">
        <v>1645</v>
      </c>
      <c r="Y11" s="3">
        <v>390547.82120000001</v>
      </c>
    </row>
    <row r="12" spans="1:25" x14ac:dyDescent="0.25">
      <c r="Q12" s="3" t="s">
        <v>1390</v>
      </c>
      <c r="R12" s="3" t="s">
        <v>1501</v>
      </c>
      <c r="S12" s="3" t="s">
        <v>1637</v>
      </c>
      <c r="T12" s="3">
        <v>488832129.60000002</v>
      </c>
      <c r="U12" s="3">
        <v>9704</v>
      </c>
      <c r="V12" s="3">
        <v>50374.292000000001</v>
      </c>
      <c r="W12" s="3">
        <v>608203406.60000002</v>
      </c>
      <c r="X12" s="3">
        <v>12327</v>
      </c>
      <c r="Y12" s="3">
        <v>49339.126040000003</v>
      </c>
    </row>
    <row r="13" spans="1:25" x14ac:dyDescent="0.25">
      <c r="O13" t="s">
        <v>1749</v>
      </c>
      <c r="Q13" s="3" t="s">
        <v>30</v>
      </c>
      <c r="R13" s="3" t="s">
        <v>37</v>
      </c>
      <c r="S13" s="3" t="s">
        <v>45</v>
      </c>
      <c r="T13" s="3">
        <v>243007130.90000001</v>
      </c>
      <c r="U13" s="3">
        <v>8882</v>
      </c>
      <c r="V13" s="3">
        <v>27359.505850000001</v>
      </c>
      <c r="W13" s="3">
        <v>526528196.5</v>
      </c>
      <c r="X13" s="3">
        <v>15742</v>
      </c>
      <c r="Y13" s="3">
        <v>33447.350810000004</v>
      </c>
    </row>
    <row r="14" spans="1:25" x14ac:dyDescent="0.25">
      <c r="Q14" s="3" t="s">
        <v>31</v>
      </c>
      <c r="R14" s="3" t="s">
        <v>38</v>
      </c>
      <c r="S14" s="3" t="s">
        <v>46</v>
      </c>
      <c r="T14" s="3">
        <v>1370995237</v>
      </c>
      <c r="U14" s="3">
        <v>88742</v>
      </c>
      <c r="V14" s="3">
        <v>15449.226269999999</v>
      </c>
      <c r="W14" s="3">
        <v>519022697</v>
      </c>
      <c r="X14" s="3">
        <v>57642</v>
      </c>
      <c r="Y14" s="3">
        <v>9004.2451160000001</v>
      </c>
    </row>
    <row r="15" spans="1:25" x14ac:dyDescent="0.25">
      <c r="Q15" s="3" t="s">
        <v>32</v>
      </c>
      <c r="R15" s="3" t="s">
        <v>39</v>
      </c>
      <c r="S15" s="3" t="s">
        <v>47</v>
      </c>
      <c r="T15" s="3">
        <v>1149653207</v>
      </c>
      <c r="U15" s="3">
        <v>52085</v>
      </c>
      <c r="V15" s="3">
        <v>22072.63524</v>
      </c>
      <c r="W15" s="3">
        <v>512621924.30000001</v>
      </c>
      <c r="X15" s="3">
        <v>41903</v>
      </c>
      <c r="Y15" s="3">
        <v>12233.537560000001</v>
      </c>
    </row>
    <row r="16" spans="1:25" x14ac:dyDescent="0.25">
      <c r="Q16" s="3" t="s">
        <v>33</v>
      </c>
      <c r="R16" s="3" t="s">
        <v>40</v>
      </c>
      <c r="S16" s="3" t="s">
        <v>48</v>
      </c>
      <c r="T16" s="3">
        <v>378891062.69999999</v>
      </c>
      <c r="U16" s="3">
        <v>17633</v>
      </c>
      <c r="V16" s="3">
        <v>21487.61202</v>
      </c>
      <c r="W16" s="3">
        <v>504586233.39999998</v>
      </c>
      <c r="X16" s="3">
        <v>18538</v>
      </c>
      <c r="Y16" s="3">
        <v>27219.02219</v>
      </c>
    </row>
    <row r="17" spans="17:25" x14ac:dyDescent="0.25">
      <c r="Q17" s="3" t="s">
        <v>34</v>
      </c>
      <c r="R17" s="3" t="s">
        <v>41</v>
      </c>
      <c r="S17" s="3" t="s">
        <v>49</v>
      </c>
      <c r="T17" s="3">
        <v>366371064.60000002</v>
      </c>
      <c r="U17" s="3">
        <v>15612</v>
      </c>
      <c r="V17" s="3">
        <v>23467.27291</v>
      </c>
      <c r="W17" s="3">
        <v>500152674.69999999</v>
      </c>
      <c r="X17" s="3">
        <v>21410</v>
      </c>
      <c r="Y17" s="3">
        <v>23360.704099999999</v>
      </c>
    </row>
    <row r="18" spans="17:25" x14ac:dyDescent="0.25">
      <c r="Q18" s="3" t="s">
        <v>35</v>
      </c>
      <c r="R18" s="3" t="s">
        <v>42</v>
      </c>
      <c r="S18" s="3" t="s">
        <v>50</v>
      </c>
      <c r="T18" s="3">
        <v>645375454.10000002</v>
      </c>
      <c r="U18" s="3">
        <v>9309</v>
      </c>
      <c r="V18" s="3">
        <v>69328.118390000003</v>
      </c>
      <c r="W18" s="3">
        <v>478628176.10000002</v>
      </c>
      <c r="X18" s="3">
        <v>8083</v>
      </c>
      <c r="Y18" s="3">
        <v>59214.174950000001</v>
      </c>
    </row>
    <row r="19" spans="17:25" x14ac:dyDescent="0.25">
      <c r="Q19" s="3" t="s">
        <v>36</v>
      </c>
      <c r="R19" s="3" t="s">
        <v>43</v>
      </c>
      <c r="S19" s="3" t="s">
        <v>51</v>
      </c>
      <c r="T19" s="3">
        <v>471369647.60000002</v>
      </c>
      <c r="U19" s="3">
        <v>19306</v>
      </c>
      <c r="V19" s="3">
        <v>24415.707429999999</v>
      </c>
      <c r="W19" s="3">
        <v>477381476.10000002</v>
      </c>
      <c r="X19" s="3">
        <v>17337</v>
      </c>
      <c r="Y19" s="3">
        <v>27535.414199999999</v>
      </c>
    </row>
    <row r="20" spans="17:25" x14ac:dyDescent="0.25">
      <c r="Q20" s="3">
        <v>90662</v>
      </c>
      <c r="R20" s="3" t="s">
        <v>44</v>
      </c>
      <c r="S20" s="3" t="s">
        <v>52</v>
      </c>
      <c r="T20" s="3">
        <v>461229753.69999999</v>
      </c>
      <c r="U20" s="3">
        <v>9154064</v>
      </c>
      <c r="V20" s="3">
        <v>50.3852446</v>
      </c>
      <c r="W20" s="3">
        <v>477053148.10000002</v>
      </c>
      <c r="X20" s="3">
        <v>7631960</v>
      </c>
      <c r="Y20" s="3">
        <v>62.507291459999998</v>
      </c>
    </row>
    <row r="21" spans="17:25" x14ac:dyDescent="0.25">
      <c r="Q21" s="3" t="s">
        <v>1391</v>
      </c>
      <c r="R21" s="3" t="s">
        <v>1502</v>
      </c>
      <c r="S21" s="3" t="s">
        <v>1638</v>
      </c>
      <c r="T21" s="3"/>
      <c r="U21" s="3"/>
      <c r="V21" s="3"/>
      <c r="W21" s="3">
        <v>453544571.60000002</v>
      </c>
      <c r="X21" s="3">
        <v>9073</v>
      </c>
      <c r="Y21" s="3">
        <v>49988.379990000001</v>
      </c>
    </row>
    <row r="22" spans="17:25" x14ac:dyDescent="0.25">
      <c r="Q22" s="3" t="s">
        <v>53</v>
      </c>
      <c r="R22" s="3" t="s">
        <v>62</v>
      </c>
      <c r="S22" s="3" t="s">
        <v>71</v>
      </c>
      <c r="T22" s="3">
        <v>414142370.10000002</v>
      </c>
      <c r="U22" s="3">
        <v>9949</v>
      </c>
      <c r="V22" s="3">
        <v>41626.532330000002</v>
      </c>
      <c r="W22" s="3">
        <v>432652274</v>
      </c>
      <c r="X22" s="3">
        <v>9465</v>
      </c>
      <c r="Y22" s="3">
        <v>45710.752670000002</v>
      </c>
    </row>
    <row r="23" spans="17:25" x14ac:dyDescent="0.25">
      <c r="Q23" s="3" t="s">
        <v>54</v>
      </c>
      <c r="R23" s="3" t="s">
        <v>63</v>
      </c>
      <c r="S23" s="3" t="s">
        <v>72</v>
      </c>
      <c r="T23" s="3">
        <v>370456943.5</v>
      </c>
      <c r="U23" s="3">
        <v>15991</v>
      </c>
      <c r="V23" s="3">
        <v>23166.590169999999</v>
      </c>
      <c r="W23" s="3">
        <v>423591151.10000002</v>
      </c>
      <c r="X23" s="3">
        <v>13442</v>
      </c>
      <c r="Y23" s="3">
        <v>31512.50938</v>
      </c>
    </row>
    <row r="24" spans="17:25" x14ac:dyDescent="0.25">
      <c r="Q24" s="3" t="s">
        <v>55</v>
      </c>
      <c r="R24" s="3" t="s">
        <v>64</v>
      </c>
      <c r="S24" s="3" t="s">
        <v>73</v>
      </c>
      <c r="T24" s="3">
        <v>269500416.69999999</v>
      </c>
      <c r="U24" s="3">
        <v>4595</v>
      </c>
      <c r="V24" s="3">
        <v>58650.797980000003</v>
      </c>
      <c r="W24" s="3">
        <v>408091302.69999999</v>
      </c>
      <c r="X24" s="3">
        <v>7687</v>
      </c>
      <c r="Y24" s="3">
        <v>53088.500410000001</v>
      </c>
    </row>
    <row r="25" spans="17:25" x14ac:dyDescent="0.25">
      <c r="Q25" s="3" t="s">
        <v>56</v>
      </c>
      <c r="R25" s="3" t="s">
        <v>65</v>
      </c>
      <c r="S25" s="3" t="s">
        <v>74</v>
      </c>
      <c r="T25" s="3">
        <v>395083351.10000002</v>
      </c>
      <c r="U25" s="3">
        <v>17070</v>
      </c>
      <c r="V25" s="3">
        <v>23144.894609999999</v>
      </c>
      <c r="W25" s="3">
        <v>401920803.10000002</v>
      </c>
      <c r="X25" s="3">
        <v>17789</v>
      </c>
      <c r="Y25" s="3">
        <v>22593.78285</v>
      </c>
    </row>
    <row r="26" spans="17:25" x14ac:dyDescent="0.25">
      <c r="Q26" s="3" t="s">
        <v>57</v>
      </c>
      <c r="R26" s="3" t="s">
        <v>66</v>
      </c>
      <c r="S26" s="3" t="s">
        <v>75</v>
      </c>
      <c r="T26" s="3">
        <v>207099485.90000001</v>
      </c>
      <c r="U26" s="3">
        <v>4183</v>
      </c>
      <c r="V26" s="3">
        <v>49509.798210000001</v>
      </c>
      <c r="W26" s="3">
        <v>398958476.10000002</v>
      </c>
      <c r="X26" s="3">
        <v>6260</v>
      </c>
      <c r="Y26" s="3">
        <v>63731.385970000003</v>
      </c>
    </row>
    <row r="27" spans="17:25" x14ac:dyDescent="0.25">
      <c r="Q27" s="3" t="s">
        <v>58</v>
      </c>
      <c r="R27" s="3" t="s">
        <v>67</v>
      </c>
      <c r="S27" s="3" t="s">
        <v>76</v>
      </c>
      <c r="T27" s="3">
        <v>296770200.5</v>
      </c>
      <c r="U27" s="3">
        <v>16856</v>
      </c>
      <c r="V27" s="3">
        <v>17606.205539999999</v>
      </c>
      <c r="W27" s="3">
        <v>370063974.80000001</v>
      </c>
      <c r="X27" s="3">
        <v>26875</v>
      </c>
      <c r="Y27" s="3">
        <v>13769.822319999999</v>
      </c>
    </row>
    <row r="28" spans="17:25" x14ac:dyDescent="0.25">
      <c r="Q28" s="3" t="s">
        <v>59</v>
      </c>
      <c r="R28" s="3" t="s">
        <v>68</v>
      </c>
      <c r="S28" s="3" t="s">
        <v>77</v>
      </c>
      <c r="T28" s="3">
        <v>1011988293</v>
      </c>
      <c r="U28" s="3">
        <v>224023</v>
      </c>
      <c r="V28" s="3">
        <v>4517.3410459999996</v>
      </c>
      <c r="W28" s="3">
        <v>369311857.89999998</v>
      </c>
      <c r="X28" s="3">
        <v>154678</v>
      </c>
      <c r="Y28" s="3">
        <v>2387.6172299999998</v>
      </c>
    </row>
    <row r="29" spans="17:25" x14ac:dyDescent="0.25">
      <c r="Q29" s="3" t="s">
        <v>60</v>
      </c>
      <c r="R29" s="3" t="s">
        <v>69</v>
      </c>
      <c r="S29" s="3" t="s">
        <v>78</v>
      </c>
      <c r="T29" s="3">
        <v>348391515.5</v>
      </c>
      <c r="U29" s="3">
        <v>139884</v>
      </c>
      <c r="V29" s="3">
        <v>2490.5744439999999</v>
      </c>
      <c r="W29" s="3">
        <v>366441060.69999999</v>
      </c>
      <c r="X29" s="3">
        <v>143146</v>
      </c>
      <c r="Y29" s="3">
        <v>2559.9112839999998</v>
      </c>
    </row>
    <row r="30" spans="17:25" x14ac:dyDescent="0.25">
      <c r="Q30" s="3" t="s">
        <v>61</v>
      </c>
      <c r="R30" s="3" t="s">
        <v>70</v>
      </c>
      <c r="S30" s="3" t="s">
        <v>79</v>
      </c>
      <c r="T30" s="3">
        <v>443373928.89999998</v>
      </c>
      <c r="U30" s="3">
        <v>20262</v>
      </c>
      <c r="V30" s="3">
        <v>21882.041700000002</v>
      </c>
      <c r="W30" s="3">
        <v>362797565.80000001</v>
      </c>
      <c r="X30" s="3">
        <v>17267</v>
      </c>
      <c r="Y30" s="3">
        <v>21011.03642</v>
      </c>
    </row>
    <row r="31" spans="17:25" x14ac:dyDescent="0.25">
      <c r="Q31" s="3" t="s">
        <v>1392</v>
      </c>
      <c r="R31" s="3" t="s">
        <v>1503</v>
      </c>
      <c r="S31" s="3" t="s">
        <v>1639</v>
      </c>
      <c r="T31" s="3"/>
      <c r="U31" s="3"/>
      <c r="V31" s="3"/>
      <c r="W31" s="3">
        <v>336344276</v>
      </c>
      <c r="X31" s="3">
        <v>15239</v>
      </c>
      <c r="Y31" s="3">
        <v>22071.282630000002</v>
      </c>
    </row>
    <row r="32" spans="17:25" x14ac:dyDescent="0.25">
      <c r="Q32" s="3" t="s">
        <v>80</v>
      </c>
      <c r="R32" s="3" t="s">
        <v>83</v>
      </c>
      <c r="S32" s="3" t="s">
        <v>86</v>
      </c>
      <c r="T32" s="3">
        <v>266320982.19999999</v>
      </c>
      <c r="U32" s="3">
        <v>16427</v>
      </c>
      <c r="V32" s="3">
        <v>16212.39315</v>
      </c>
      <c r="W32" s="3">
        <v>333905536.89999998</v>
      </c>
      <c r="X32" s="3">
        <v>16663</v>
      </c>
      <c r="Y32" s="3">
        <v>20038.740740000001</v>
      </c>
    </row>
    <row r="33" spans="17:25" x14ac:dyDescent="0.25">
      <c r="Q33" s="3" t="s">
        <v>81</v>
      </c>
      <c r="R33" s="3" t="s">
        <v>84</v>
      </c>
      <c r="S33" s="3" t="s">
        <v>87</v>
      </c>
      <c r="T33" s="3">
        <v>274360293.10000002</v>
      </c>
      <c r="U33" s="3">
        <v>13725</v>
      </c>
      <c r="V33" s="3">
        <v>19989.82099</v>
      </c>
      <c r="W33" s="3">
        <v>311732182.5</v>
      </c>
      <c r="X33" s="3">
        <v>12064</v>
      </c>
      <c r="Y33" s="3">
        <v>25839.86924</v>
      </c>
    </row>
    <row r="34" spans="17:25" x14ac:dyDescent="0.25">
      <c r="Q34" s="3" t="s">
        <v>82</v>
      </c>
      <c r="R34" s="3" t="s">
        <v>85</v>
      </c>
      <c r="S34" s="3" t="s">
        <v>88</v>
      </c>
      <c r="T34" s="3">
        <v>248150982.59999999</v>
      </c>
      <c r="U34" s="3">
        <v>5512</v>
      </c>
      <c r="V34" s="3">
        <v>45020.134720000002</v>
      </c>
      <c r="W34" s="3">
        <v>308197166.69999999</v>
      </c>
      <c r="X34" s="3">
        <v>5799</v>
      </c>
      <c r="Y34" s="3">
        <v>53146.605730000003</v>
      </c>
    </row>
    <row r="35" spans="17:25" x14ac:dyDescent="0.25">
      <c r="Q35" s="3" t="s">
        <v>1393</v>
      </c>
      <c r="R35" s="3" t="s">
        <v>1504</v>
      </c>
      <c r="S35" s="3" t="s">
        <v>1640</v>
      </c>
      <c r="T35" s="3"/>
      <c r="U35" s="3"/>
      <c r="V35" s="3"/>
      <c r="W35" s="3">
        <v>302693259.19999999</v>
      </c>
      <c r="X35" s="3">
        <v>1163</v>
      </c>
      <c r="Y35" s="3">
        <v>260269.35449999999</v>
      </c>
    </row>
    <row r="36" spans="17:25" x14ac:dyDescent="0.25">
      <c r="Q36" s="3" t="s">
        <v>89</v>
      </c>
      <c r="R36" s="3" t="s">
        <v>91</v>
      </c>
      <c r="S36" s="3" t="s">
        <v>93</v>
      </c>
      <c r="T36" s="3">
        <v>269991281.89999998</v>
      </c>
      <c r="U36" s="3">
        <v>7582</v>
      </c>
      <c r="V36" s="3">
        <v>35609.506970000002</v>
      </c>
      <c r="W36" s="3">
        <v>299033794.10000002</v>
      </c>
      <c r="X36" s="3">
        <v>7456</v>
      </c>
      <c r="Y36" s="3">
        <v>40106.463799999998</v>
      </c>
    </row>
    <row r="37" spans="17:25" x14ac:dyDescent="0.25">
      <c r="Q37" s="3" t="s">
        <v>90</v>
      </c>
      <c r="R37" s="3" t="s">
        <v>92</v>
      </c>
      <c r="S37" s="3" t="s">
        <v>94</v>
      </c>
      <c r="T37" s="3">
        <v>229831522.5</v>
      </c>
      <c r="U37" s="3">
        <v>12767</v>
      </c>
      <c r="V37" s="3">
        <v>18001.999100000001</v>
      </c>
      <c r="W37" s="3">
        <v>288597502.60000002</v>
      </c>
      <c r="X37" s="3">
        <v>13804</v>
      </c>
      <c r="Y37" s="3">
        <v>20906.80257</v>
      </c>
    </row>
    <row r="38" spans="17:25" x14ac:dyDescent="0.25">
      <c r="Q38" s="3" t="s">
        <v>1369</v>
      </c>
      <c r="R38" s="3" t="s">
        <v>1505</v>
      </c>
      <c r="S38" s="3" t="s">
        <v>1641</v>
      </c>
      <c r="T38" s="3"/>
      <c r="U38" s="3"/>
      <c r="V38" s="3"/>
      <c r="W38" s="3">
        <v>288501210.69999999</v>
      </c>
      <c r="X38" s="3">
        <v>16546</v>
      </c>
      <c r="Y38" s="3">
        <v>17436.311539999999</v>
      </c>
    </row>
    <row r="39" spans="17:25" x14ac:dyDescent="0.25">
      <c r="Q39" s="3">
        <v>90694</v>
      </c>
      <c r="R39" s="3" t="s">
        <v>1506</v>
      </c>
      <c r="S39" s="3" t="s">
        <v>1642</v>
      </c>
      <c r="T39" s="3"/>
      <c r="U39" s="3"/>
      <c r="V39" s="3"/>
      <c r="W39" s="3">
        <v>269257212.60000002</v>
      </c>
      <c r="X39" s="3">
        <v>4239703</v>
      </c>
      <c r="Y39" s="3">
        <v>63.50850818</v>
      </c>
    </row>
    <row r="40" spans="17:25" x14ac:dyDescent="0.25">
      <c r="Q40" s="3" t="s">
        <v>1394</v>
      </c>
      <c r="R40" s="3" t="s">
        <v>1507</v>
      </c>
      <c r="S40" s="3" t="s">
        <v>1643</v>
      </c>
      <c r="T40" s="3"/>
      <c r="U40" s="3"/>
      <c r="V40" s="3"/>
      <c r="W40" s="3">
        <v>266191359.40000001</v>
      </c>
      <c r="X40" s="3">
        <v>2412</v>
      </c>
      <c r="Y40" s="3">
        <v>110361.2601</v>
      </c>
    </row>
    <row r="41" spans="17:25" x14ac:dyDescent="0.25">
      <c r="Q41" s="3" t="s">
        <v>95</v>
      </c>
      <c r="R41" s="3" t="s">
        <v>99</v>
      </c>
      <c r="S41" s="3" t="s">
        <v>103</v>
      </c>
      <c r="T41" s="3">
        <v>153223416.90000001</v>
      </c>
      <c r="U41" s="3">
        <v>4256</v>
      </c>
      <c r="V41" s="3">
        <v>36001.742689999999</v>
      </c>
      <c r="W41" s="3">
        <v>254253809.69999999</v>
      </c>
      <c r="X41" s="3">
        <v>5471</v>
      </c>
      <c r="Y41" s="3">
        <v>46473.00488</v>
      </c>
    </row>
    <row r="42" spans="17:25" x14ac:dyDescent="0.25">
      <c r="Q42" s="3" t="s">
        <v>96</v>
      </c>
      <c r="R42" s="3" t="s">
        <v>100</v>
      </c>
      <c r="S42" s="3" t="s">
        <v>104</v>
      </c>
      <c r="T42" s="3">
        <v>186163594.09999999</v>
      </c>
      <c r="U42" s="3">
        <v>1489</v>
      </c>
      <c r="V42" s="3">
        <v>125025.9195</v>
      </c>
      <c r="W42" s="3">
        <v>253875005.69999999</v>
      </c>
      <c r="X42" s="3">
        <v>1713</v>
      </c>
      <c r="Y42" s="3">
        <v>148204.90700000001</v>
      </c>
    </row>
    <row r="43" spans="17:25" x14ac:dyDescent="0.25">
      <c r="Q43" s="3" t="s">
        <v>97</v>
      </c>
      <c r="R43" s="3" t="s">
        <v>101</v>
      </c>
      <c r="S43" s="3" t="s">
        <v>105</v>
      </c>
      <c r="T43" s="3">
        <v>216603977.90000001</v>
      </c>
      <c r="U43" s="3">
        <v>4277</v>
      </c>
      <c r="V43" s="3">
        <v>50643.904119999999</v>
      </c>
      <c r="W43" s="3">
        <v>248357392</v>
      </c>
      <c r="X43" s="3">
        <v>4961</v>
      </c>
      <c r="Y43" s="3">
        <v>50061.9617</v>
      </c>
    </row>
    <row r="44" spans="17:25" x14ac:dyDescent="0.25">
      <c r="Q44" s="3" t="s">
        <v>98</v>
      </c>
      <c r="R44" s="3" t="s">
        <v>102</v>
      </c>
      <c r="S44" s="3" t="s">
        <v>106</v>
      </c>
      <c r="T44" s="3">
        <v>171666328</v>
      </c>
      <c r="U44" s="3">
        <v>10347</v>
      </c>
      <c r="V44" s="3">
        <v>16590.927609999999</v>
      </c>
      <c r="W44" s="3">
        <v>243387335.5</v>
      </c>
      <c r="X44" s="3">
        <v>9609</v>
      </c>
      <c r="Y44" s="3">
        <v>25329.101409999999</v>
      </c>
    </row>
    <row r="45" spans="17:25" x14ac:dyDescent="0.25">
      <c r="Q45" s="3" t="s">
        <v>1371</v>
      </c>
      <c r="R45" s="3" t="s">
        <v>1508</v>
      </c>
      <c r="S45" s="3" t="s">
        <v>1644</v>
      </c>
      <c r="T45" s="3"/>
      <c r="U45" s="3"/>
      <c r="V45" s="3"/>
      <c r="W45" s="3">
        <v>233566050.90000001</v>
      </c>
      <c r="X45" s="3">
        <v>13932</v>
      </c>
      <c r="Y45" s="3">
        <v>16764.717980000001</v>
      </c>
    </row>
    <row r="46" spans="17:25" x14ac:dyDescent="0.25">
      <c r="Q46" s="3" t="s">
        <v>107</v>
      </c>
      <c r="R46" s="3" t="s">
        <v>112</v>
      </c>
      <c r="S46" s="3" t="s">
        <v>117</v>
      </c>
      <c r="T46" s="3">
        <v>271873373.89999998</v>
      </c>
      <c r="U46" s="3">
        <v>158975</v>
      </c>
      <c r="V46" s="3">
        <v>1710.164327</v>
      </c>
      <c r="W46" s="3">
        <v>224127403</v>
      </c>
      <c r="X46" s="3">
        <v>155959</v>
      </c>
      <c r="Y46" s="3">
        <v>1437.091819</v>
      </c>
    </row>
    <row r="47" spans="17:25" x14ac:dyDescent="0.25">
      <c r="Q47" s="3" t="s">
        <v>108</v>
      </c>
      <c r="R47" s="3" t="s">
        <v>113</v>
      </c>
      <c r="S47" s="3" t="s">
        <v>118</v>
      </c>
      <c r="T47" s="3">
        <v>821766302</v>
      </c>
      <c r="U47" s="3">
        <v>20586</v>
      </c>
      <c r="V47" s="3">
        <v>39918.697269999997</v>
      </c>
      <c r="W47" s="3">
        <v>223709770.90000001</v>
      </c>
      <c r="X47" s="3">
        <v>6944</v>
      </c>
      <c r="Y47" s="3">
        <v>32216.26885</v>
      </c>
    </row>
    <row r="48" spans="17:25" x14ac:dyDescent="0.25">
      <c r="Q48" s="3" t="s">
        <v>109</v>
      </c>
      <c r="R48" s="3" t="s">
        <v>114</v>
      </c>
      <c r="S48" s="3" t="s">
        <v>87</v>
      </c>
      <c r="T48" s="3">
        <v>139013934.90000001</v>
      </c>
      <c r="U48" s="3">
        <v>3536</v>
      </c>
      <c r="V48" s="3">
        <v>39313.895620000003</v>
      </c>
      <c r="W48" s="3">
        <v>222552652.69999999</v>
      </c>
      <c r="X48" s="3">
        <v>4551</v>
      </c>
      <c r="Y48" s="3">
        <v>48901.923239999996</v>
      </c>
    </row>
    <row r="49" spans="17:25" x14ac:dyDescent="0.25">
      <c r="Q49" s="3" t="s">
        <v>110</v>
      </c>
      <c r="R49" s="3" t="s">
        <v>115</v>
      </c>
      <c r="S49" s="3" t="s">
        <v>119</v>
      </c>
      <c r="T49" s="3">
        <v>118484557.8</v>
      </c>
      <c r="U49" s="3">
        <v>5563</v>
      </c>
      <c r="V49" s="3">
        <v>21298.68017</v>
      </c>
      <c r="W49" s="3">
        <v>210518708.09999999</v>
      </c>
      <c r="X49" s="3">
        <v>8141</v>
      </c>
      <c r="Y49" s="3">
        <v>25859.072359999998</v>
      </c>
    </row>
    <row r="50" spans="17:25" x14ac:dyDescent="0.25">
      <c r="Q50" s="3" t="s">
        <v>111</v>
      </c>
      <c r="R50" s="3" t="s">
        <v>116</v>
      </c>
      <c r="S50" s="3" t="s">
        <v>120</v>
      </c>
      <c r="T50" s="3">
        <v>234996474.5</v>
      </c>
      <c r="U50" s="3">
        <v>5623</v>
      </c>
      <c r="V50" s="3">
        <v>41792.010410000003</v>
      </c>
      <c r="W50" s="3">
        <v>208017215.30000001</v>
      </c>
      <c r="X50" s="3">
        <v>4208</v>
      </c>
      <c r="Y50" s="3">
        <v>49433.748890000003</v>
      </c>
    </row>
    <row r="51" spans="17:25" x14ac:dyDescent="0.25">
      <c r="Q51" s="3" t="s">
        <v>1395</v>
      </c>
      <c r="R51" s="3" t="s">
        <v>1509</v>
      </c>
      <c r="S51" s="3" t="s">
        <v>1645</v>
      </c>
      <c r="T51" s="3"/>
      <c r="U51" s="3"/>
      <c r="V51" s="3"/>
      <c r="W51" s="3">
        <v>197482083.69999999</v>
      </c>
      <c r="X51" s="3">
        <v>8456</v>
      </c>
      <c r="Y51" s="3">
        <v>23354.078010000001</v>
      </c>
    </row>
    <row r="52" spans="17:25" x14ac:dyDescent="0.25">
      <c r="Q52" s="3" t="s">
        <v>1396</v>
      </c>
      <c r="R52" s="3" t="s">
        <v>1510</v>
      </c>
      <c r="S52" s="3" t="s">
        <v>1646</v>
      </c>
      <c r="T52" s="3"/>
      <c r="U52" s="3"/>
      <c r="V52" s="3"/>
      <c r="W52" s="3">
        <v>195888958.59999999</v>
      </c>
      <c r="X52" s="3">
        <v>19410</v>
      </c>
      <c r="Y52" s="3">
        <v>10092.16685</v>
      </c>
    </row>
    <row r="53" spans="17:25" x14ac:dyDescent="0.25">
      <c r="Q53" s="3" t="s">
        <v>121</v>
      </c>
      <c r="R53" s="3" t="s">
        <v>123</v>
      </c>
      <c r="S53" s="3" t="s">
        <v>125</v>
      </c>
      <c r="T53" s="3">
        <v>113562036.5</v>
      </c>
      <c r="U53" s="3">
        <v>2331</v>
      </c>
      <c r="V53" s="3">
        <v>48718.162389999998</v>
      </c>
      <c r="W53" s="3">
        <v>182463588.59999999</v>
      </c>
      <c r="X53" s="3">
        <v>3501</v>
      </c>
      <c r="Y53" s="3">
        <v>52117.563150000002</v>
      </c>
    </row>
    <row r="54" spans="17:25" x14ac:dyDescent="0.25">
      <c r="Q54" s="3" t="s">
        <v>122</v>
      </c>
      <c r="R54" s="3" t="s">
        <v>124</v>
      </c>
      <c r="S54" s="3" t="s">
        <v>124</v>
      </c>
      <c r="T54" s="3">
        <v>211251085.40000001</v>
      </c>
      <c r="U54" s="3">
        <v>55484</v>
      </c>
      <c r="V54" s="3">
        <v>3807.4234980000001</v>
      </c>
      <c r="W54" s="3">
        <v>181314390.30000001</v>
      </c>
      <c r="X54" s="3">
        <v>41127</v>
      </c>
      <c r="Y54" s="3">
        <v>4408.6461509999999</v>
      </c>
    </row>
    <row r="55" spans="17:25" x14ac:dyDescent="0.25">
      <c r="Q55" s="3" t="s">
        <v>1397</v>
      </c>
      <c r="R55" s="3" t="s">
        <v>1511</v>
      </c>
      <c r="S55" s="3" t="s">
        <v>1647</v>
      </c>
      <c r="T55" s="3"/>
      <c r="U55" s="3"/>
      <c r="V55" s="3"/>
      <c r="W55" s="3">
        <v>179470040.90000001</v>
      </c>
      <c r="X55" s="3">
        <v>2704</v>
      </c>
      <c r="Y55" s="3">
        <v>66372.056540000005</v>
      </c>
    </row>
    <row r="56" spans="17:25" x14ac:dyDescent="0.25">
      <c r="Q56" s="3" t="s">
        <v>1398</v>
      </c>
      <c r="R56" s="3" t="s">
        <v>1512</v>
      </c>
      <c r="S56" s="3" t="s">
        <v>1648</v>
      </c>
      <c r="T56" s="3"/>
      <c r="U56" s="3"/>
      <c r="V56" s="3"/>
      <c r="W56" s="3">
        <v>178638412.80000001</v>
      </c>
      <c r="X56" s="3">
        <v>358</v>
      </c>
      <c r="Y56" s="3">
        <v>498989.97989999998</v>
      </c>
    </row>
    <row r="57" spans="17:25" x14ac:dyDescent="0.25">
      <c r="Q57" s="3" t="s">
        <v>126</v>
      </c>
      <c r="R57" s="3" t="s">
        <v>127</v>
      </c>
      <c r="S57" s="3" t="s">
        <v>128</v>
      </c>
      <c r="T57" s="3">
        <v>241282505.80000001</v>
      </c>
      <c r="U57" s="3">
        <v>50410</v>
      </c>
      <c r="V57" s="3">
        <v>4786.4016229999997</v>
      </c>
      <c r="W57" s="3">
        <v>177670287.30000001</v>
      </c>
      <c r="X57" s="3">
        <v>41577</v>
      </c>
      <c r="Y57" s="3">
        <v>4273.2830000000004</v>
      </c>
    </row>
    <row r="58" spans="17:25" x14ac:dyDescent="0.25">
      <c r="Q58" s="3" t="s">
        <v>1399</v>
      </c>
      <c r="R58" s="3" t="s">
        <v>1513</v>
      </c>
      <c r="S58" s="3" t="s">
        <v>1649</v>
      </c>
      <c r="T58" s="3"/>
      <c r="U58" s="3"/>
      <c r="V58" s="3"/>
      <c r="W58" s="3">
        <v>177654131.09999999</v>
      </c>
      <c r="X58" s="3">
        <v>510</v>
      </c>
      <c r="Y58" s="3">
        <v>348341.43349999998</v>
      </c>
    </row>
    <row r="59" spans="17:25" x14ac:dyDescent="0.25">
      <c r="Q59" s="3" t="s">
        <v>1400</v>
      </c>
      <c r="R59" s="3" t="s">
        <v>1514</v>
      </c>
      <c r="S59" s="3" t="s">
        <v>1650</v>
      </c>
      <c r="T59" s="3"/>
      <c r="U59" s="3"/>
      <c r="V59" s="3"/>
      <c r="W59" s="3">
        <v>172471886.30000001</v>
      </c>
      <c r="X59" s="3">
        <v>7335</v>
      </c>
      <c r="Y59" s="3">
        <v>23513.549599999998</v>
      </c>
    </row>
    <row r="60" spans="17:25" x14ac:dyDescent="0.25">
      <c r="Q60" s="3" t="s">
        <v>129</v>
      </c>
      <c r="R60" s="3" t="s">
        <v>132</v>
      </c>
      <c r="S60" s="3" t="s">
        <v>135</v>
      </c>
      <c r="T60" s="3">
        <v>117142528.40000001</v>
      </c>
      <c r="U60" s="3">
        <v>1429</v>
      </c>
      <c r="V60" s="3">
        <v>81975.177309999999</v>
      </c>
      <c r="W60" s="3">
        <v>164383359.59999999</v>
      </c>
      <c r="X60" s="3">
        <v>1660</v>
      </c>
      <c r="Y60" s="3">
        <v>99026.120219999997</v>
      </c>
    </row>
    <row r="61" spans="17:25" x14ac:dyDescent="0.25">
      <c r="Q61" s="3" t="s">
        <v>130</v>
      </c>
      <c r="R61" s="3" t="s">
        <v>133</v>
      </c>
      <c r="S61" s="3" t="s">
        <v>136</v>
      </c>
      <c r="T61" s="3">
        <v>140612425.59999999</v>
      </c>
      <c r="U61" s="3">
        <v>88696</v>
      </c>
      <c r="V61" s="3">
        <v>1585.329954</v>
      </c>
      <c r="W61" s="3">
        <v>161942227.69999999</v>
      </c>
      <c r="X61" s="3">
        <v>96072</v>
      </c>
      <c r="Y61" s="3">
        <v>1685.6339800000001</v>
      </c>
    </row>
    <row r="62" spans="17:25" x14ac:dyDescent="0.25">
      <c r="Q62" s="3" t="s">
        <v>131</v>
      </c>
      <c r="R62" s="3" t="s">
        <v>134</v>
      </c>
      <c r="S62" s="3" t="s">
        <v>137</v>
      </c>
      <c r="T62" s="3">
        <v>72284678.290000007</v>
      </c>
      <c r="U62" s="3">
        <v>620</v>
      </c>
      <c r="V62" s="3">
        <v>116588.1908</v>
      </c>
      <c r="W62" s="3">
        <v>160197748.5</v>
      </c>
      <c r="X62" s="3">
        <v>907</v>
      </c>
      <c r="Y62" s="3">
        <v>176623.758</v>
      </c>
    </row>
    <row r="63" spans="17:25" x14ac:dyDescent="0.25">
      <c r="Q63" s="3" t="s">
        <v>1335</v>
      </c>
      <c r="R63" s="3" t="s">
        <v>1515</v>
      </c>
      <c r="S63" s="3" t="s">
        <v>1651</v>
      </c>
      <c r="T63" s="3"/>
      <c r="U63" s="3"/>
      <c r="V63" s="3"/>
      <c r="W63" s="3">
        <v>160042879.69999999</v>
      </c>
      <c r="X63" s="3">
        <v>15627</v>
      </c>
      <c r="Y63" s="3">
        <v>10241.4334</v>
      </c>
    </row>
    <row r="64" spans="17:25" x14ac:dyDescent="0.25">
      <c r="Q64" s="3" t="s">
        <v>1325</v>
      </c>
      <c r="R64" s="3" t="s">
        <v>1516</v>
      </c>
      <c r="S64" s="3" t="s">
        <v>1652</v>
      </c>
      <c r="T64" s="3"/>
      <c r="U64" s="3"/>
      <c r="V64" s="3"/>
      <c r="W64" s="3">
        <v>159309828.69999999</v>
      </c>
      <c r="X64" s="3">
        <v>7550</v>
      </c>
      <c r="Y64" s="3">
        <v>21100.63956</v>
      </c>
    </row>
    <row r="65" spans="17:25" x14ac:dyDescent="0.25">
      <c r="Q65" s="3" t="s">
        <v>138</v>
      </c>
      <c r="R65" s="3" t="s">
        <v>140</v>
      </c>
      <c r="S65" s="3" t="s">
        <v>142</v>
      </c>
      <c r="T65" s="3">
        <v>121466519.59999999</v>
      </c>
      <c r="U65" s="3">
        <v>25821</v>
      </c>
      <c r="V65" s="3">
        <v>4704.1756539999997</v>
      </c>
      <c r="W65" s="3">
        <v>156744155.69999999</v>
      </c>
      <c r="X65" s="3">
        <v>32751</v>
      </c>
      <c r="Y65" s="3">
        <v>4785.9349540000003</v>
      </c>
    </row>
    <row r="66" spans="17:25" x14ac:dyDescent="0.25">
      <c r="Q66" s="3" t="s">
        <v>139</v>
      </c>
      <c r="R66" s="3" t="s">
        <v>141</v>
      </c>
      <c r="S66" s="3" t="s">
        <v>143</v>
      </c>
      <c r="T66" s="3">
        <v>174773764.90000001</v>
      </c>
      <c r="U66" s="3">
        <v>1194</v>
      </c>
      <c r="V66" s="3">
        <v>146376.6875</v>
      </c>
      <c r="W66" s="3">
        <v>155903547.59999999</v>
      </c>
      <c r="X66" s="3">
        <v>1058</v>
      </c>
      <c r="Y66" s="3">
        <v>147356.85029999999</v>
      </c>
    </row>
    <row r="67" spans="17:25" x14ac:dyDescent="0.25">
      <c r="Q67" s="3" t="s">
        <v>1401</v>
      </c>
      <c r="R67" s="3" t="s">
        <v>1517</v>
      </c>
      <c r="S67" s="3" t="s">
        <v>1653</v>
      </c>
      <c r="T67" s="3"/>
      <c r="U67" s="3"/>
      <c r="V67" s="3"/>
      <c r="W67" s="3">
        <v>154355577.09999999</v>
      </c>
      <c r="X67" s="3">
        <v>1664</v>
      </c>
      <c r="Y67" s="3">
        <v>92761.765090000001</v>
      </c>
    </row>
    <row r="68" spans="17:25" x14ac:dyDescent="0.25">
      <c r="Q68" s="3" t="s">
        <v>144</v>
      </c>
      <c r="R68" s="3" t="s">
        <v>145</v>
      </c>
      <c r="S68" s="3" t="s">
        <v>146</v>
      </c>
      <c r="T68" s="3">
        <v>188526960.90000001</v>
      </c>
      <c r="U68" s="3">
        <v>1759</v>
      </c>
      <c r="V68" s="3">
        <v>107178.4883</v>
      </c>
      <c r="W68" s="3">
        <v>153583746.69999999</v>
      </c>
      <c r="X68" s="3">
        <v>1136</v>
      </c>
      <c r="Y68" s="3">
        <v>135196.9601</v>
      </c>
    </row>
    <row r="69" spans="17:25" x14ac:dyDescent="0.25">
      <c r="Q69" s="3" t="s">
        <v>1402</v>
      </c>
      <c r="R69" s="3" t="s">
        <v>1518</v>
      </c>
      <c r="S69" s="3" t="s">
        <v>1654</v>
      </c>
      <c r="T69" s="3"/>
      <c r="U69" s="3"/>
      <c r="V69" s="3"/>
      <c r="W69" s="3">
        <v>144583755.69999999</v>
      </c>
      <c r="X69" s="3">
        <v>3590</v>
      </c>
      <c r="Y69" s="3">
        <v>40274.026660000003</v>
      </c>
    </row>
    <row r="70" spans="17:25" x14ac:dyDescent="0.25">
      <c r="Q70" s="3">
        <v>90732</v>
      </c>
      <c r="R70" s="3" t="s">
        <v>149</v>
      </c>
      <c r="S70" s="3" t="s">
        <v>152</v>
      </c>
      <c r="T70" s="3">
        <v>186378938.90000001</v>
      </c>
      <c r="U70" s="3">
        <v>1874731</v>
      </c>
      <c r="V70" s="3">
        <v>99.416363680000003</v>
      </c>
      <c r="W70" s="3">
        <v>142689613.90000001</v>
      </c>
      <c r="X70" s="3">
        <v>1200530</v>
      </c>
      <c r="Y70" s="3">
        <v>118.8555171</v>
      </c>
    </row>
    <row r="71" spans="17:25" x14ac:dyDescent="0.25">
      <c r="Q71" s="3" t="s">
        <v>147</v>
      </c>
      <c r="R71" s="3" t="s">
        <v>150</v>
      </c>
      <c r="S71" s="3" t="s">
        <v>153</v>
      </c>
      <c r="T71" s="3">
        <v>97176724.329999998</v>
      </c>
      <c r="U71" s="3">
        <v>2618</v>
      </c>
      <c r="V71" s="3">
        <v>37118.687669999999</v>
      </c>
      <c r="W71" s="3">
        <v>141653448.30000001</v>
      </c>
      <c r="X71" s="3">
        <v>3146</v>
      </c>
      <c r="Y71" s="3">
        <v>45026.525199999996</v>
      </c>
    </row>
    <row r="72" spans="17:25" x14ac:dyDescent="0.25">
      <c r="Q72" s="3" t="s">
        <v>148</v>
      </c>
      <c r="R72" s="3" t="s">
        <v>151</v>
      </c>
      <c r="S72" s="3" t="s">
        <v>154</v>
      </c>
      <c r="T72" s="3">
        <v>182346364.09999999</v>
      </c>
      <c r="U72" s="3">
        <v>6476</v>
      </c>
      <c r="V72" s="3">
        <v>28157.25203</v>
      </c>
      <c r="W72" s="3">
        <v>138532657.5</v>
      </c>
      <c r="X72" s="3">
        <v>3960</v>
      </c>
      <c r="Y72" s="3">
        <v>34982.994330000001</v>
      </c>
    </row>
    <row r="73" spans="17:25" x14ac:dyDescent="0.25">
      <c r="Q73" s="3" t="s">
        <v>1403</v>
      </c>
      <c r="R73" s="3" t="s">
        <v>1519</v>
      </c>
      <c r="S73" s="3" t="s">
        <v>1655</v>
      </c>
      <c r="T73" s="3"/>
      <c r="U73" s="3"/>
      <c r="V73" s="3"/>
      <c r="W73" s="3">
        <v>138164554.59999999</v>
      </c>
      <c r="X73" s="3">
        <v>24246</v>
      </c>
      <c r="Y73" s="3">
        <v>5698.4473539999999</v>
      </c>
    </row>
    <row r="74" spans="17:25" x14ac:dyDescent="0.25">
      <c r="Q74" s="3" t="s">
        <v>155</v>
      </c>
      <c r="R74" s="3" t="s">
        <v>161</v>
      </c>
      <c r="S74" s="3" t="s">
        <v>168</v>
      </c>
      <c r="T74" s="3">
        <v>95639692.129999995</v>
      </c>
      <c r="U74" s="3">
        <v>3407</v>
      </c>
      <c r="V74" s="3">
        <v>28071.526900000001</v>
      </c>
      <c r="W74" s="3">
        <v>137669766.80000001</v>
      </c>
      <c r="X74" s="3">
        <v>4694</v>
      </c>
      <c r="Y74" s="3">
        <v>29328.880880000001</v>
      </c>
    </row>
    <row r="75" spans="17:25" x14ac:dyDescent="0.25">
      <c r="Q75" s="3" t="s">
        <v>156</v>
      </c>
      <c r="R75" s="3" t="s">
        <v>162</v>
      </c>
      <c r="S75" s="3" t="s">
        <v>169</v>
      </c>
      <c r="T75" s="3">
        <v>130749115.2</v>
      </c>
      <c r="U75" s="3">
        <v>594382</v>
      </c>
      <c r="V75" s="3">
        <v>219.9748902</v>
      </c>
      <c r="W75" s="3">
        <v>131961555.8</v>
      </c>
      <c r="X75" s="3">
        <v>557917</v>
      </c>
      <c r="Y75" s="3">
        <v>236.52542550000001</v>
      </c>
    </row>
    <row r="76" spans="17:25" x14ac:dyDescent="0.25">
      <c r="Q76" s="3" t="s">
        <v>157</v>
      </c>
      <c r="R76" s="3" t="s">
        <v>163</v>
      </c>
      <c r="S76" s="3" t="s">
        <v>163</v>
      </c>
      <c r="T76" s="3">
        <v>113660276.90000001</v>
      </c>
      <c r="U76" s="3">
        <v>29209</v>
      </c>
      <c r="V76" s="3">
        <v>3891.2758690000001</v>
      </c>
      <c r="W76" s="3">
        <v>131017582.5</v>
      </c>
      <c r="X76" s="3">
        <v>32212</v>
      </c>
      <c r="Y76" s="3">
        <v>4067.3532380000001</v>
      </c>
    </row>
    <row r="77" spans="17:25" x14ac:dyDescent="0.25">
      <c r="Q77" s="3">
        <v>90670</v>
      </c>
      <c r="R77" s="3" t="s">
        <v>164</v>
      </c>
      <c r="S77" s="3" t="s">
        <v>170</v>
      </c>
      <c r="T77" s="3">
        <v>432793749.80000001</v>
      </c>
      <c r="U77" s="3">
        <v>2267575</v>
      </c>
      <c r="V77" s="3">
        <v>190.8619339</v>
      </c>
      <c r="W77" s="3">
        <v>129033793.8</v>
      </c>
      <c r="X77" s="3">
        <v>555013</v>
      </c>
      <c r="Y77" s="3">
        <v>232.4878765</v>
      </c>
    </row>
    <row r="78" spans="17:25" x14ac:dyDescent="0.25">
      <c r="Q78" s="3" t="s">
        <v>158</v>
      </c>
      <c r="R78" s="3" t="s">
        <v>165</v>
      </c>
      <c r="S78" s="3" t="s">
        <v>171</v>
      </c>
      <c r="T78" s="3">
        <v>233169546.30000001</v>
      </c>
      <c r="U78" s="3">
        <v>9870</v>
      </c>
      <c r="V78" s="3">
        <v>23624.067510000001</v>
      </c>
      <c r="W78" s="3">
        <v>120158191.3</v>
      </c>
      <c r="X78" s="3">
        <v>6368</v>
      </c>
      <c r="Y78" s="3">
        <v>18869.062709999998</v>
      </c>
    </row>
    <row r="79" spans="17:25" x14ac:dyDescent="0.25">
      <c r="Q79" s="3" t="s">
        <v>159</v>
      </c>
      <c r="R79" s="3" t="s">
        <v>166</v>
      </c>
      <c r="S79" s="3" t="s">
        <v>172</v>
      </c>
      <c r="T79" s="3">
        <v>100254747.2</v>
      </c>
      <c r="U79" s="3">
        <v>3070</v>
      </c>
      <c r="V79" s="3">
        <v>32656.26946</v>
      </c>
      <c r="W79" s="3">
        <v>116423797</v>
      </c>
      <c r="X79" s="3">
        <v>3186</v>
      </c>
      <c r="Y79" s="3">
        <v>36542.309150000001</v>
      </c>
    </row>
    <row r="80" spans="17:25" x14ac:dyDescent="0.25">
      <c r="Q80" s="3" t="s">
        <v>160</v>
      </c>
      <c r="R80" s="3" t="s">
        <v>167</v>
      </c>
      <c r="S80" s="3" t="s">
        <v>173</v>
      </c>
      <c r="T80" s="3">
        <v>96005577.799999997</v>
      </c>
      <c r="U80" s="3">
        <v>1319</v>
      </c>
      <c r="V80" s="3">
        <v>72786.639729999995</v>
      </c>
      <c r="W80" s="3">
        <v>111472532.09999999</v>
      </c>
      <c r="X80" s="3">
        <v>1399</v>
      </c>
      <c r="Y80" s="3">
        <v>79680.151639999996</v>
      </c>
    </row>
    <row r="81" spans="17:25" x14ac:dyDescent="0.25">
      <c r="Q81" s="3" t="s">
        <v>1404</v>
      </c>
      <c r="R81" s="3" t="s">
        <v>1520</v>
      </c>
      <c r="S81" s="3" t="s">
        <v>1656</v>
      </c>
      <c r="T81" s="3"/>
      <c r="U81" s="3"/>
      <c r="V81" s="3"/>
      <c r="W81" s="3">
        <v>109118974.40000001</v>
      </c>
      <c r="X81" s="3">
        <v>1904</v>
      </c>
      <c r="Y81" s="3">
        <v>57310.385710000002</v>
      </c>
    </row>
    <row r="82" spans="17:25" x14ac:dyDescent="0.25">
      <c r="Q82" s="3" t="s">
        <v>174</v>
      </c>
      <c r="R82" s="3" t="s">
        <v>180</v>
      </c>
      <c r="S82" s="3" t="s">
        <v>186</v>
      </c>
      <c r="T82" s="3">
        <v>23024145.989999998</v>
      </c>
      <c r="U82" s="3">
        <v>3687</v>
      </c>
      <c r="V82" s="3">
        <v>6244.6829369999996</v>
      </c>
      <c r="W82" s="3">
        <v>102552113</v>
      </c>
      <c r="X82" s="3">
        <v>13838</v>
      </c>
      <c r="Y82" s="3">
        <v>7410.9056950000004</v>
      </c>
    </row>
    <row r="83" spans="17:25" x14ac:dyDescent="0.25">
      <c r="Q83" s="3" t="s">
        <v>175</v>
      </c>
      <c r="R83" s="3" t="s">
        <v>181</v>
      </c>
      <c r="S83" s="3" t="s">
        <v>187</v>
      </c>
      <c r="T83" s="3">
        <v>84899148.599999994</v>
      </c>
      <c r="U83" s="3">
        <v>3278</v>
      </c>
      <c r="V83" s="3">
        <v>25899.679260000001</v>
      </c>
      <c r="W83" s="3">
        <v>102382337.09999999</v>
      </c>
      <c r="X83" s="3">
        <v>3406</v>
      </c>
      <c r="Y83" s="3">
        <v>30059.406080000001</v>
      </c>
    </row>
    <row r="84" spans="17:25" x14ac:dyDescent="0.25">
      <c r="Q84" s="3" t="s">
        <v>176</v>
      </c>
      <c r="R84" s="3" t="s">
        <v>182</v>
      </c>
      <c r="S84" s="3" t="s">
        <v>188</v>
      </c>
      <c r="T84" s="3">
        <v>180050688.30000001</v>
      </c>
      <c r="U84" s="3">
        <v>768</v>
      </c>
      <c r="V84" s="3">
        <v>234441.00030000001</v>
      </c>
      <c r="W84" s="3">
        <v>102319393.2</v>
      </c>
      <c r="X84" s="3">
        <v>623</v>
      </c>
      <c r="Y84" s="3">
        <v>164236.58619999999</v>
      </c>
    </row>
    <row r="85" spans="17:25" x14ac:dyDescent="0.25">
      <c r="Q85" s="3" t="s">
        <v>177</v>
      </c>
      <c r="R85" s="3" t="s">
        <v>183</v>
      </c>
      <c r="S85" s="3" t="s">
        <v>189</v>
      </c>
      <c r="T85" s="3">
        <v>93716500.939999998</v>
      </c>
      <c r="U85" s="3">
        <v>2747</v>
      </c>
      <c r="V85" s="3">
        <v>34115.945010000003</v>
      </c>
      <c r="W85" s="3">
        <v>100065715.7</v>
      </c>
      <c r="X85" s="3">
        <v>2525</v>
      </c>
      <c r="Y85" s="3">
        <v>39629.986420000001</v>
      </c>
    </row>
    <row r="86" spans="17:25" x14ac:dyDescent="0.25">
      <c r="Q86" s="3" t="s">
        <v>178</v>
      </c>
      <c r="R86" s="3" t="s">
        <v>184</v>
      </c>
      <c r="S86" s="3" t="s">
        <v>190</v>
      </c>
      <c r="T86" s="3">
        <v>249195363.69999999</v>
      </c>
      <c r="U86" s="3">
        <v>18966</v>
      </c>
      <c r="V86" s="3">
        <v>13139.05746</v>
      </c>
      <c r="W86" s="3">
        <v>99529826.370000005</v>
      </c>
      <c r="X86" s="3">
        <v>19829</v>
      </c>
      <c r="Y86" s="3">
        <v>5019.4072509999996</v>
      </c>
    </row>
    <row r="87" spans="17:25" x14ac:dyDescent="0.25">
      <c r="Q87" s="3" t="s">
        <v>179</v>
      </c>
      <c r="R87" s="3" t="s">
        <v>185</v>
      </c>
      <c r="S87" s="3" t="s">
        <v>191</v>
      </c>
      <c r="T87" s="3">
        <v>84704011.359999999</v>
      </c>
      <c r="U87" s="3">
        <v>1541</v>
      </c>
      <c r="V87" s="3">
        <v>54966.911979999997</v>
      </c>
      <c r="W87" s="3">
        <v>97730345.810000002</v>
      </c>
      <c r="X87" s="3">
        <v>1554</v>
      </c>
      <c r="Y87" s="3">
        <v>62889.540419999998</v>
      </c>
    </row>
    <row r="88" spans="17:25" x14ac:dyDescent="0.25">
      <c r="Q88" s="3" t="s">
        <v>1405</v>
      </c>
      <c r="R88" s="3" t="s">
        <v>1521</v>
      </c>
      <c r="S88" s="3" t="s">
        <v>1657</v>
      </c>
      <c r="T88" s="3"/>
      <c r="U88" s="3"/>
      <c r="V88" s="3"/>
      <c r="W88" s="3">
        <v>96029680.510000005</v>
      </c>
      <c r="X88" s="3">
        <v>1376</v>
      </c>
      <c r="Y88" s="3">
        <v>69789.012000000002</v>
      </c>
    </row>
    <row r="89" spans="17:25" x14ac:dyDescent="0.25">
      <c r="Q89" s="3" t="s">
        <v>1406</v>
      </c>
      <c r="R89" s="3" t="s">
        <v>1522</v>
      </c>
      <c r="S89" s="3" t="s">
        <v>1658</v>
      </c>
      <c r="T89" s="3"/>
      <c r="U89" s="3"/>
      <c r="V89" s="3"/>
      <c r="W89" s="3">
        <v>88260767.989999995</v>
      </c>
      <c r="X89" s="3">
        <v>1878</v>
      </c>
      <c r="Y89" s="3">
        <v>46997.214050000002</v>
      </c>
    </row>
    <row r="90" spans="17:25" x14ac:dyDescent="0.25">
      <c r="Q90" s="3" t="s">
        <v>1354</v>
      </c>
      <c r="R90" s="3" t="s">
        <v>1523</v>
      </c>
      <c r="S90" s="3" t="s">
        <v>1659</v>
      </c>
      <c r="T90" s="3">
        <v>261027.51</v>
      </c>
      <c r="U90" s="3">
        <v>340</v>
      </c>
      <c r="V90" s="3">
        <v>767.72797060000005</v>
      </c>
      <c r="W90" s="3">
        <v>87251749.980000004</v>
      </c>
      <c r="X90" s="3">
        <v>37266</v>
      </c>
      <c r="Y90" s="3">
        <v>2341.3231900000001</v>
      </c>
    </row>
    <row r="91" spans="17:25" x14ac:dyDescent="0.25">
      <c r="Q91" s="3" t="s">
        <v>192</v>
      </c>
      <c r="R91" s="3" t="s">
        <v>193</v>
      </c>
      <c r="S91" s="3" t="s">
        <v>194</v>
      </c>
      <c r="T91" s="3">
        <v>61123990.840000004</v>
      </c>
      <c r="U91" s="3">
        <v>56133</v>
      </c>
      <c r="V91" s="3">
        <v>1088.913667</v>
      </c>
      <c r="W91" s="3">
        <v>86557906.390000001</v>
      </c>
      <c r="X91" s="3">
        <v>75175</v>
      </c>
      <c r="Y91" s="3">
        <v>1151.4187750000001</v>
      </c>
    </row>
    <row r="92" spans="17:25" x14ac:dyDescent="0.25">
      <c r="Q92" s="3" t="s">
        <v>1343</v>
      </c>
      <c r="R92" s="3" t="s">
        <v>1524</v>
      </c>
      <c r="S92" s="3" t="s">
        <v>1660</v>
      </c>
      <c r="T92" s="3"/>
      <c r="U92" s="3"/>
      <c r="V92" s="3"/>
      <c r="W92" s="3">
        <v>85195357.75</v>
      </c>
      <c r="X92" s="3">
        <v>7991</v>
      </c>
      <c r="Y92" s="3">
        <v>10661.41381</v>
      </c>
    </row>
    <row r="93" spans="17:25" x14ac:dyDescent="0.25">
      <c r="Q93" s="3" t="s">
        <v>1407</v>
      </c>
      <c r="R93" s="3" t="s">
        <v>1525</v>
      </c>
      <c r="S93" s="3" t="s">
        <v>1661</v>
      </c>
      <c r="T93" s="3"/>
      <c r="U93" s="3"/>
      <c r="V93" s="3"/>
      <c r="W93" s="3">
        <v>82896518.890000001</v>
      </c>
      <c r="X93" s="3">
        <v>279</v>
      </c>
      <c r="Y93" s="3">
        <v>297120.13939999999</v>
      </c>
    </row>
    <row r="94" spans="17:25" x14ac:dyDescent="0.25">
      <c r="Q94" s="3" t="s">
        <v>1408</v>
      </c>
      <c r="R94" s="3" t="s">
        <v>1526</v>
      </c>
      <c r="S94" s="3" t="s">
        <v>48</v>
      </c>
      <c r="T94" s="3">
        <v>49216544.880000003</v>
      </c>
      <c r="U94" s="3">
        <v>1002</v>
      </c>
      <c r="V94" s="3">
        <v>49118.308259999998</v>
      </c>
      <c r="W94" s="3">
        <v>81924221.420000002</v>
      </c>
      <c r="X94" s="3">
        <v>1359</v>
      </c>
      <c r="Y94" s="3">
        <v>60282.723639999997</v>
      </c>
    </row>
    <row r="95" spans="17:25" x14ac:dyDescent="0.25">
      <c r="Q95" s="3" t="s">
        <v>1409</v>
      </c>
      <c r="R95" s="3" t="s">
        <v>1527</v>
      </c>
      <c r="S95" s="3" t="s">
        <v>1662</v>
      </c>
      <c r="T95" s="3">
        <v>33977994.899999999</v>
      </c>
      <c r="U95" s="3">
        <v>550</v>
      </c>
      <c r="V95" s="3">
        <v>61778.172550000003</v>
      </c>
      <c r="W95" s="3">
        <v>79095180.379999995</v>
      </c>
      <c r="X95" s="3">
        <v>1323</v>
      </c>
      <c r="Y95" s="3">
        <v>59784.716840000001</v>
      </c>
    </row>
    <row r="96" spans="17:25" x14ac:dyDescent="0.25">
      <c r="Q96" s="3" t="s">
        <v>195</v>
      </c>
      <c r="R96" s="3" t="s">
        <v>196</v>
      </c>
      <c r="S96" s="3" t="s">
        <v>197</v>
      </c>
      <c r="T96" s="3">
        <v>122547838.7</v>
      </c>
      <c r="U96" s="3">
        <v>32438</v>
      </c>
      <c r="V96" s="3">
        <v>3777.909819</v>
      </c>
      <c r="W96" s="3">
        <v>75697918.430000007</v>
      </c>
      <c r="X96" s="3">
        <v>32505</v>
      </c>
      <c r="Y96" s="3">
        <v>2328.8084429999999</v>
      </c>
    </row>
    <row r="97" spans="17:25" x14ac:dyDescent="0.25">
      <c r="Q97" s="3" t="s">
        <v>1331</v>
      </c>
      <c r="R97" s="3" t="s">
        <v>1528</v>
      </c>
      <c r="S97" s="3" t="s">
        <v>1663</v>
      </c>
      <c r="T97" s="3">
        <v>16806704.149999999</v>
      </c>
      <c r="U97" s="3">
        <v>1723</v>
      </c>
      <c r="V97" s="3">
        <v>9754.3262620000005</v>
      </c>
      <c r="W97" s="3">
        <v>75403320.909999996</v>
      </c>
      <c r="X97" s="3">
        <v>8069</v>
      </c>
      <c r="Y97" s="3">
        <v>9344.8160750000006</v>
      </c>
    </row>
    <row r="98" spans="17:25" x14ac:dyDescent="0.25">
      <c r="Q98" s="3" t="s">
        <v>198</v>
      </c>
      <c r="R98" s="3" t="s">
        <v>199</v>
      </c>
      <c r="S98" s="3" t="s">
        <v>200</v>
      </c>
      <c r="T98" s="3">
        <v>36533956.729999997</v>
      </c>
      <c r="U98" s="3">
        <v>2640</v>
      </c>
      <c r="V98" s="3">
        <v>13838.61997</v>
      </c>
      <c r="W98" s="3">
        <v>74281398.689999998</v>
      </c>
      <c r="X98" s="3">
        <v>5174</v>
      </c>
      <c r="Y98" s="3">
        <v>14356.6677</v>
      </c>
    </row>
    <row r="99" spans="17:25" x14ac:dyDescent="0.25">
      <c r="Q99" s="3" t="s">
        <v>1360</v>
      </c>
      <c r="R99" s="3" t="s">
        <v>1529</v>
      </c>
      <c r="S99" s="3" t="s">
        <v>1664</v>
      </c>
      <c r="T99" s="3">
        <v>65048864.590000004</v>
      </c>
      <c r="U99" s="3">
        <v>5510</v>
      </c>
      <c r="V99" s="3">
        <v>11805.601559999999</v>
      </c>
      <c r="W99" s="3">
        <v>71993954.760000005</v>
      </c>
      <c r="X99" s="3">
        <v>7268</v>
      </c>
      <c r="Y99" s="3">
        <v>9905.6074239999998</v>
      </c>
    </row>
    <row r="100" spans="17:25" x14ac:dyDescent="0.25">
      <c r="Q100" s="3" t="s">
        <v>1366</v>
      </c>
      <c r="R100" s="3" t="s">
        <v>1530</v>
      </c>
      <c r="S100" s="3" t="s">
        <v>1665</v>
      </c>
      <c r="T100" s="3"/>
      <c r="U100" s="3"/>
      <c r="V100" s="3"/>
      <c r="W100" s="3">
        <v>68338781.280000001</v>
      </c>
      <c r="X100" s="3">
        <v>3580</v>
      </c>
      <c r="Y100" s="3">
        <v>19089.045050000001</v>
      </c>
    </row>
    <row r="101" spans="17:25" x14ac:dyDescent="0.25">
      <c r="Q101" s="3" t="s">
        <v>201</v>
      </c>
      <c r="R101" s="3" t="s">
        <v>202</v>
      </c>
      <c r="S101" s="3" t="s">
        <v>203</v>
      </c>
      <c r="T101" s="3">
        <v>47829975.590000004</v>
      </c>
      <c r="U101" s="3">
        <v>7601</v>
      </c>
      <c r="V101" s="3">
        <v>6292.589868</v>
      </c>
      <c r="W101" s="3">
        <v>68178745.640000001</v>
      </c>
      <c r="X101" s="3">
        <v>7931</v>
      </c>
      <c r="Y101" s="3">
        <v>8596.4879130000008</v>
      </c>
    </row>
    <row r="102" spans="17:25" x14ac:dyDescent="0.25">
      <c r="Q102" s="3" t="s">
        <v>1410</v>
      </c>
      <c r="R102" s="3" t="s">
        <v>1531</v>
      </c>
      <c r="S102" s="3" t="s">
        <v>1666</v>
      </c>
      <c r="T102" s="3"/>
      <c r="U102" s="3"/>
      <c r="V102" s="3"/>
      <c r="W102" s="3">
        <v>66538895.909999996</v>
      </c>
      <c r="X102" s="3">
        <v>7377</v>
      </c>
      <c r="Y102" s="3">
        <v>9019.7771329999996</v>
      </c>
    </row>
    <row r="103" spans="17:25" x14ac:dyDescent="0.25">
      <c r="Q103" s="3" t="s">
        <v>204</v>
      </c>
      <c r="R103" s="3" t="s">
        <v>206</v>
      </c>
      <c r="S103" s="3" t="s">
        <v>208</v>
      </c>
      <c r="T103" s="3">
        <v>107171714</v>
      </c>
      <c r="U103" s="3">
        <v>127287</v>
      </c>
      <c r="V103" s="3">
        <v>841.96904649999999</v>
      </c>
      <c r="W103" s="3">
        <v>64832002.149999999</v>
      </c>
      <c r="X103" s="3">
        <v>83641</v>
      </c>
      <c r="Y103" s="3">
        <v>775.12227440000004</v>
      </c>
    </row>
    <row r="104" spans="17:25" x14ac:dyDescent="0.25">
      <c r="Q104" s="3" t="s">
        <v>205</v>
      </c>
      <c r="R104" s="3" t="s">
        <v>207</v>
      </c>
      <c r="S104" s="3" t="s">
        <v>209</v>
      </c>
      <c r="T104" s="3">
        <v>45755322.630000003</v>
      </c>
      <c r="U104" s="3">
        <v>944</v>
      </c>
      <c r="V104" s="3">
        <v>48469.621429999999</v>
      </c>
      <c r="W104" s="3">
        <v>63952848.890000001</v>
      </c>
      <c r="X104" s="3">
        <v>1102</v>
      </c>
      <c r="Y104" s="3">
        <v>58033.438190000001</v>
      </c>
    </row>
    <row r="105" spans="17:25" x14ac:dyDescent="0.25">
      <c r="Q105" s="3" t="s">
        <v>1411</v>
      </c>
      <c r="R105" s="3" t="s">
        <v>1532</v>
      </c>
      <c r="S105" s="3" t="s">
        <v>1667</v>
      </c>
      <c r="T105" s="3"/>
      <c r="U105" s="3"/>
      <c r="V105" s="3"/>
      <c r="W105" s="3">
        <v>63872984.100000001</v>
      </c>
      <c r="X105" s="3">
        <v>56615</v>
      </c>
      <c r="Y105" s="3">
        <v>1128.1989599999999</v>
      </c>
    </row>
    <row r="106" spans="17:25" x14ac:dyDescent="0.25">
      <c r="Q106" s="3" t="s">
        <v>210</v>
      </c>
      <c r="R106" s="3" t="s">
        <v>212</v>
      </c>
      <c r="S106" s="3" t="s">
        <v>214</v>
      </c>
      <c r="T106" s="3">
        <v>73071019.930000007</v>
      </c>
      <c r="U106" s="3">
        <v>151</v>
      </c>
      <c r="V106" s="3">
        <v>483914.0393</v>
      </c>
      <c r="W106" s="3">
        <v>62519533.710000001</v>
      </c>
      <c r="X106" s="3">
        <v>137</v>
      </c>
      <c r="Y106" s="3">
        <v>456346.96139999997</v>
      </c>
    </row>
    <row r="107" spans="17:25" x14ac:dyDescent="0.25">
      <c r="Q107" s="3" t="s">
        <v>211</v>
      </c>
      <c r="R107" s="3" t="s">
        <v>213</v>
      </c>
      <c r="S107" s="3" t="s">
        <v>215</v>
      </c>
      <c r="T107" s="3">
        <v>63025687.789999999</v>
      </c>
      <c r="U107" s="3">
        <v>126</v>
      </c>
      <c r="V107" s="3">
        <v>500203.8714</v>
      </c>
      <c r="W107" s="3">
        <v>61675529.630000003</v>
      </c>
      <c r="X107" s="3">
        <v>116</v>
      </c>
      <c r="Y107" s="3">
        <v>531685.60030000005</v>
      </c>
    </row>
    <row r="108" spans="17:25" x14ac:dyDescent="0.25">
      <c r="Q108" s="3" t="s">
        <v>1327</v>
      </c>
      <c r="R108" s="3" t="s">
        <v>1533</v>
      </c>
      <c r="S108" s="3" t="s">
        <v>1668</v>
      </c>
      <c r="T108" s="3"/>
      <c r="U108" s="3"/>
      <c r="V108" s="3"/>
      <c r="W108" s="3">
        <v>59996201.530000001</v>
      </c>
      <c r="X108" s="3">
        <v>2993</v>
      </c>
      <c r="Y108" s="3">
        <v>20045.506689999998</v>
      </c>
    </row>
    <row r="109" spans="17:25" x14ac:dyDescent="0.25">
      <c r="Q109" s="3" t="s">
        <v>216</v>
      </c>
      <c r="R109" s="3" t="s">
        <v>218</v>
      </c>
      <c r="S109" s="3" t="s">
        <v>220</v>
      </c>
      <c r="T109" s="3">
        <v>252105037.90000001</v>
      </c>
      <c r="U109" s="3">
        <v>71243</v>
      </c>
      <c r="V109" s="3">
        <v>3538.6639799999998</v>
      </c>
      <c r="W109" s="3">
        <v>58454183.100000001</v>
      </c>
      <c r="X109" s="3">
        <v>25914</v>
      </c>
      <c r="Y109" s="3">
        <v>2255.6989699999999</v>
      </c>
    </row>
    <row r="110" spans="17:25" x14ac:dyDescent="0.25">
      <c r="Q110" s="3" t="s">
        <v>217</v>
      </c>
      <c r="R110" s="3" t="s">
        <v>219</v>
      </c>
      <c r="S110" s="3" t="s">
        <v>221</v>
      </c>
      <c r="T110" s="3">
        <v>43837561.310000002</v>
      </c>
      <c r="U110" s="3">
        <v>1608</v>
      </c>
      <c r="V110" s="3">
        <v>27262.164990000001</v>
      </c>
      <c r="W110" s="3">
        <v>56731827.130000003</v>
      </c>
      <c r="X110" s="3">
        <v>1713</v>
      </c>
      <c r="Y110" s="3">
        <v>33118.404629999997</v>
      </c>
    </row>
    <row r="111" spans="17:25" x14ac:dyDescent="0.25">
      <c r="Q111" s="3" t="s">
        <v>1412</v>
      </c>
      <c r="R111" s="3" t="s">
        <v>1534</v>
      </c>
      <c r="S111" s="3" t="s">
        <v>1669</v>
      </c>
      <c r="T111" s="3"/>
      <c r="U111" s="3"/>
      <c r="V111" s="3"/>
      <c r="W111" s="3">
        <v>56144672.479999997</v>
      </c>
      <c r="X111" s="3">
        <v>818</v>
      </c>
      <c r="Y111" s="3">
        <v>68636.518920000002</v>
      </c>
    </row>
    <row r="112" spans="17:25" x14ac:dyDescent="0.25">
      <c r="Q112" s="3" t="s">
        <v>222</v>
      </c>
      <c r="R112" s="3" t="s">
        <v>223</v>
      </c>
      <c r="S112" s="3" t="s">
        <v>224</v>
      </c>
      <c r="T112" s="3">
        <v>47790003.409999996</v>
      </c>
      <c r="U112" s="3">
        <v>138</v>
      </c>
      <c r="V112" s="3">
        <v>346304.3725</v>
      </c>
      <c r="W112" s="3">
        <v>55643275.350000001</v>
      </c>
      <c r="X112" s="3">
        <v>111</v>
      </c>
      <c r="Y112" s="3">
        <v>501290.76890000002</v>
      </c>
    </row>
    <row r="113" spans="17:25" x14ac:dyDescent="0.25">
      <c r="Q113" s="3" t="s">
        <v>1413</v>
      </c>
      <c r="R113" s="3" t="s">
        <v>1535</v>
      </c>
      <c r="S113" s="3"/>
      <c r="T113" s="3"/>
      <c r="U113" s="3"/>
      <c r="V113" s="3"/>
      <c r="W113" s="3">
        <v>55200909.93</v>
      </c>
      <c r="X113" s="3">
        <v>5717</v>
      </c>
      <c r="Y113" s="3">
        <v>9655.5728409999992</v>
      </c>
    </row>
    <row r="114" spans="17:25" x14ac:dyDescent="0.25">
      <c r="Q114" s="3" t="s">
        <v>225</v>
      </c>
      <c r="R114" s="3" t="s">
        <v>229</v>
      </c>
      <c r="S114" s="3" t="s">
        <v>233</v>
      </c>
      <c r="T114" s="3">
        <v>53437872.229999997</v>
      </c>
      <c r="U114" s="3">
        <v>82</v>
      </c>
      <c r="V114" s="3">
        <v>651681.36869999999</v>
      </c>
      <c r="W114" s="3">
        <v>54628099.859999999</v>
      </c>
      <c r="X114" s="3">
        <v>72</v>
      </c>
      <c r="Y114" s="3">
        <v>758723.60919999995</v>
      </c>
    </row>
    <row r="115" spans="17:25" x14ac:dyDescent="0.25">
      <c r="Q115" s="3" t="s">
        <v>226</v>
      </c>
      <c r="R115" s="3" t="s">
        <v>230</v>
      </c>
      <c r="S115" s="3" t="s">
        <v>234</v>
      </c>
      <c r="T115" s="3">
        <v>30254471.07</v>
      </c>
      <c r="U115" s="3">
        <v>67</v>
      </c>
      <c r="V115" s="3">
        <v>451559.2697</v>
      </c>
      <c r="W115" s="3">
        <v>54059876.149999999</v>
      </c>
      <c r="X115" s="3">
        <v>85</v>
      </c>
      <c r="Y115" s="3">
        <v>635998.5429</v>
      </c>
    </row>
    <row r="116" spans="17:25" x14ac:dyDescent="0.25">
      <c r="Q116" s="3" t="s">
        <v>227</v>
      </c>
      <c r="R116" s="3" t="s">
        <v>231</v>
      </c>
      <c r="S116" s="3" t="s">
        <v>231</v>
      </c>
      <c r="T116" s="3">
        <v>128170865.8</v>
      </c>
      <c r="U116" s="3">
        <v>136725</v>
      </c>
      <c r="V116" s="3">
        <v>937.43547820000003</v>
      </c>
      <c r="W116" s="3">
        <v>53510927.969999999</v>
      </c>
      <c r="X116" s="3">
        <v>121717</v>
      </c>
      <c r="Y116" s="3">
        <v>439.63397040000001</v>
      </c>
    </row>
    <row r="117" spans="17:25" x14ac:dyDescent="0.25">
      <c r="Q117" s="3" t="s">
        <v>228</v>
      </c>
      <c r="R117" s="3" t="s">
        <v>232</v>
      </c>
      <c r="S117" s="3" t="s">
        <v>235</v>
      </c>
      <c r="T117" s="3">
        <v>57830844.149999999</v>
      </c>
      <c r="U117" s="3">
        <v>287</v>
      </c>
      <c r="V117" s="3">
        <v>201501.1991</v>
      </c>
      <c r="W117" s="3">
        <v>52527144.630000003</v>
      </c>
      <c r="X117" s="3">
        <v>225</v>
      </c>
      <c r="Y117" s="3">
        <v>233453.9761</v>
      </c>
    </row>
    <row r="118" spans="17:25" x14ac:dyDescent="0.25">
      <c r="Q118" s="3" t="s">
        <v>1414</v>
      </c>
      <c r="R118" s="3" t="s">
        <v>1536</v>
      </c>
      <c r="S118" s="3" t="s">
        <v>1670</v>
      </c>
      <c r="T118" s="3"/>
      <c r="U118" s="3"/>
      <c r="V118" s="3"/>
      <c r="W118" s="3">
        <v>52270180.299999997</v>
      </c>
      <c r="X118" s="3">
        <v>275</v>
      </c>
      <c r="Y118" s="3">
        <v>190073.3829</v>
      </c>
    </row>
    <row r="119" spans="17:25" x14ac:dyDescent="0.25">
      <c r="Q119" s="3" t="s">
        <v>236</v>
      </c>
      <c r="R119" s="3" t="s">
        <v>239</v>
      </c>
      <c r="S119" s="3" t="s">
        <v>242</v>
      </c>
      <c r="T119" s="3">
        <v>63461132.549999997</v>
      </c>
      <c r="U119" s="3">
        <v>52021</v>
      </c>
      <c r="V119" s="3">
        <v>1219.913738</v>
      </c>
      <c r="W119" s="3">
        <v>51788990.640000001</v>
      </c>
      <c r="X119" s="3">
        <v>42828</v>
      </c>
      <c r="Y119" s="3">
        <v>1209.2320589999999</v>
      </c>
    </row>
    <row r="120" spans="17:25" x14ac:dyDescent="0.25">
      <c r="Q120" s="3" t="s">
        <v>237</v>
      </c>
      <c r="R120" s="3" t="s">
        <v>240</v>
      </c>
      <c r="S120" s="3" t="s">
        <v>243</v>
      </c>
      <c r="T120" s="3">
        <v>49657593.990000002</v>
      </c>
      <c r="U120" s="3">
        <v>17207</v>
      </c>
      <c r="V120" s="3">
        <v>2885.8949259999999</v>
      </c>
      <c r="W120" s="3">
        <v>51773256.649999999</v>
      </c>
      <c r="X120" s="3">
        <v>16593</v>
      </c>
      <c r="Y120" s="3">
        <v>3120.1866239999999</v>
      </c>
    </row>
    <row r="121" spans="17:25" x14ac:dyDescent="0.25">
      <c r="Q121" s="3" t="s">
        <v>238</v>
      </c>
      <c r="R121" s="3" t="s">
        <v>241</v>
      </c>
      <c r="S121" s="3" t="s">
        <v>244</v>
      </c>
      <c r="T121" s="3">
        <v>64645785.119999997</v>
      </c>
      <c r="U121" s="3">
        <v>56381</v>
      </c>
      <c r="V121" s="3">
        <v>1146.5881260000001</v>
      </c>
      <c r="W121" s="3">
        <v>51146680.039999999</v>
      </c>
      <c r="X121" s="3">
        <v>46340</v>
      </c>
      <c r="Y121" s="3">
        <v>1103.726371</v>
      </c>
    </row>
    <row r="122" spans="17:25" x14ac:dyDescent="0.25">
      <c r="Q122" s="3" t="s">
        <v>1356</v>
      </c>
      <c r="R122" s="3" t="s">
        <v>1537</v>
      </c>
      <c r="S122" s="3" t="s">
        <v>1671</v>
      </c>
      <c r="T122" s="3">
        <v>6527098.0700000003</v>
      </c>
      <c r="U122" s="3">
        <v>716</v>
      </c>
      <c r="V122" s="3">
        <v>9116.0587570000007</v>
      </c>
      <c r="W122" s="3">
        <v>51022399.509999998</v>
      </c>
      <c r="X122" s="3">
        <v>5358</v>
      </c>
      <c r="Y122" s="3">
        <v>9522.6576170000008</v>
      </c>
    </row>
    <row r="123" spans="17:25" x14ac:dyDescent="0.25">
      <c r="Q123" s="3" t="s">
        <v>245</v>
      </c>
      <c r="R123" s="3" t="s">
        <v>247</v>
      </c>
      <c r="S123" s="3" t="s">
        <v>249</v>
      </c>
      <c r="T123" s="3">
        <v>60999248.25</v>
      </c>
      <c r="U123" s="3">
        <v>90493</v>
      </c>
      <c r="V123" s="3">
        <v>674.07698110000001</v>
      </c>
      <c r="W123" s="3">
        <v>50266359.93</v>
      </c>
      <c r="X123" s="3">
        <v>79954</v>
      </c>
      <c r="Y123" s="3">
        <v>628.69099649999998</v>
      </c>
    </row>
    <row r="124" spans="17:25" x14ac:dyDescent="0.25">
      <c r="Q124" s="3" t="s">
        <v>246</v>
      </c>
      <c r="R124" s="3" t="s">
        <v>248</v>
      </c>
      <c r="S124" s="3" t="s">
        <v>250</v>
      </c>
      <c r="T124" s="3">
        <v>67115509.290000007</v>
      </c>
      <c r="U124" s="3">
        <v>104980</v>
      </c>
      <c r="V124" s="3">
        <v>639.31710129999999</v>
      </c>
      <c r="W124" s="3">
        <v>49083316.469999999</v>
      </c>
      <c r="X124" s="3">
        <v>79084</v>
      </c>
      <c r="Y124" s="3">
        <v>620.647874</v>
      </c>
    </row>
    <row r="125" spans="17:25" x14ac:dyDescent="0.25">
      <c r="Q125" s="3" t="s">
        <v>1321</v>
      </c>
      <c r="R125" s="3" t="s">
        <v>1538</v>
      </c>
      <c r="S125" s="3" t="s">
        <v>1672</v>
      </c>
      <c r="T125" s="3"/>
      <c r="U125" s="3"/>
      <c r="V125" s="3"/>
      <c r="W125" s="3">
        <v>46807920.039999999</v>
      </c>
      <c r="X125" s="3">
        <v>2257</v>
      </c>
      <c r="Y125" s="3">
        <v>20738.99869</v>
      </c>
    </row>
    <row r="126" spans="17:25" x14ac:dyDescent="0.25">
      <c r="Q126" s="3" t="s">
        <v>251</v>
      </c>
      <c r="R126" s="3" t="s">
        <v>253</v>
      </c>
      <c r="S126" s="3" t="s">
        <v>255</v>
      </c>
      <c r="T126" s="3">
        <v>19450573.84</v>
      </c>
      <c r="U126" s="3">
        <v>3618</v>
      </c>
      <c r="V126" s="3">
        <v>5376.0568929999999</v>
      </c>
      <c r="W126" s="3">
        <v>44071350.950000003</v>
      </c>
      <c r="X126" s="3">
        <v>6650</v>
      </c>
      <c r="Y126" s="3">
        <v>6627.2708199999997</v>
      </c>
    </row>
    <row r="127" spans="17:25" x14ac:dyDescent="0.25">
      <c r="Q127" s="3" t="s">
        <v>252</v>
      </c>
      <c r="R127" s="3" t="s">
        <v>254</v>
      </c>
      <c r="S127" s="3" t="s">
        <v>256</v>
      </c>
      <c r="T127" s="3">
        <v>51908492.689999998</v>
      </c>
      <c r="U127" s="3">
        <v>2631</v>
      </c>
      <c r="V127" s="3">
        <v>19729.567729999999</v>
      </c>
      <c r="W127" s="3">
        <v>42550810.740000002</v>
      </c>
      <c r="X127" s="3">
        <v>2047</v>
      </c>
      <c r="Y127" s="3">
        <v>20786.912919999999</v>
      </c>
    </row>
    <row r="128" spans="17:25" x14ac:dyDescent="0.25">
      <c r="Q128" s="3" t="s">
        <v>1415</v>
      </c>
      <c r="R128" s="3" t="s">
        <v>1539</v>
      </c>
      <c r="S128" s="3" t="s">
        <v>1673</v>
      </c>
      <c r="T128" s="3"/>
      <c r="U128" s="3"/>
      <c r="V128" s="3"/>
      <c r="W128" s="3">
        <v>42318868.109999999</v>
      </c>
      <c r="X128" s="3">
        <v>824</v>
      </c>
      <c r="Y128" s="3">
        <v>51357.849649999996</v>
      </c>
    </row>
    <row r="129" spans="17:25" x14ac:dyDescent="0.25">
      <c r="Q129" s="3" t="s">
        <v>257</v>
      </c>
      <c r="R129" s="3" t="s">
        <v>263</v>
      </c>
      <c r="S129" s="3" t="s">
        <v>250</v>
      </c>
      <c r="T129" s="3">
        <v>68335698.129999995</v>
      </c>
      <c r="U129" s="3">
        <v>101859</v>
      </c>
      <c r="V129" s="3">
        <v>670.88522499999999</v>
      </c>
      <c r="W129" s="3">
        <v>42012477.340000004</v>
      </c>
      <c r="X129" s="3">
        <v>64123</v>
      </c>
      <c r="Y129" s="3">
        <v>655.18577330000005</v>
      </c>
    </row>
    <row r="130" spans="17:25" x14ac:dyDescent="0.25">
      <c r="Q130" s="3" t="s">
        <v>258</v>
      </c>
      <c r="R130" s="3" t="s">
        <v>264</v>
      </c>
      <c r="S130" s="3" t="s">
        <v>269</v>
      </c>
      <c r="T130" s="3">
        <v>60016027.350000001</v>
      </c>
      <c r="U130" s="3">
        <v>7466</v>
      </c>
      <c r="V130" s="3">
        <v>8038.578536</v>
      </c>
      <c r="W130" s="3">
        <v>39771237.140000001</v>
      </c>
      <c r="X130" s="3">
        <v>6898</v>
      </c>
      <c r="Y130" s="3">
        <v>5765.6186049999997</v>
      </c>
    </row>
    <row r="131" spans="17:25" x14ac:dyDescent="0.25">
      <c r="Q131" s="3" t="s">
        <v>259</v>
      </c>
      <c r="R131" s="3" t="s">
        <v>265</v>
      </c>
      <c r="S131" s="3" t="s">
        <v>270</v>
      </c>
      <c r="T131" s="3">
        <v>35737968.770000003</v>
      </c>
      <c r="U131" s="3">
        <v>156</v>
      </c>
      <c r="V131" s="3">
        <v>229089.5434</v>
      </c>
      <c r="W131" s="3">
        <v>39031430.100000001</v>
      </c>
      <c r="X131" s="3">
        <v>135</v>
      </c>
      <c r="Y131" s="3">
        <v>289121.70439999999</v>
      </c>
    </row>
    <row r="132" spans="17:25" x14ac:dyDescent="0.25">
      <c r="Q132" s="3" t="s">
        <v>260</v>
      </c>
      <c r="R132" s="3" t="s">
        <v>266</v>
      </c>
      <c r="S132" s="3" t="s">
        <v>271</v>
      </c>
      <c r="T132" s="3">
        <v>42579319.289999999</v>
      </c>
      <c r="U132" s="3">
        <v>229</v>
      </c>
      <c r="V132" s="3">
        <v>185935.8921</v>
      </c>
      <c r="W132" s="3">
        <v>37587828.310000002</v>
      </c>
      <c r="X132" s="3">
        <v>236</v>
      </c>
      <c r="Y132" s="3">
        <v>159270.4589</v>
      </c>
    </row>
    <row r="133" spans="17:25" x14ac:dyDescent="0.25">
      <c r="Q133" s="3" t="s">
        <v>261</v>
      </c>
      <c r="R133" s="3" t="s">
        <v>267</v>
      </c>
      <c r="S133" s="3" t="s">
        <v>267</v>
      </c>
      <c r="T133" s="3">
        <v>50595895.390000001</v>
      </c>
      <c r="U133" s="3">
        <v>2343</v>
      </c>
      <c r="V133" s="3">
        <v>21594.492269999999</v>
      </c>
      <c r="W133" s="3">
        <v>36869429.969999999</v>
      </c>
      <c r="X133" s="3">
        <v>2445</v>
      </c>
      <c r="Y133" s="3">
        <v>15079.52146</v>
      </c>
    </row>
    <row r="134" spans="17:25" x14ac:dyDescent="0.25">
      <c r="Q134" s="3" t="s">
        <v>262</v>
      </c>
      <c r="R134" s="3" t="s">
        <v>268</v>
      </c>
      <c r="S134" s="3" t="s">
        <v>272</v>
      </c>
      <c r="T134" s="3">
        <v>52623538.840000004</v>
      </c>
      <c r="U134" s="3">
        <v>81315</v>
      </c>
      <c r="V134" s="3">
        <v>647.15659889999995</v>
      </c>
      <c r="W134" s="3">
        <v>36088116.979999997</v>
      </c>
      <c r="X134" s="3">
        <v>56893</v>
      </c>
      <c r="Y134" s="3">
        <v>634.3155921</v>
      </c>
    </row>
    <row r="135" spans="17:25" x14ac:dyDescent="0.25">
      <c r="Q135" s="3" t="s">
        <v>1416</v>
      </c>
      <c r="R135" s="3" t="s">
        <v>1540</v>
      </c>
      <c r="S135" s="3"/>
      <c r="T135" s="3"/>
      <c r="U135" s="3"/>
      <c r="V135" s="3"/>
      <c r="W135" s="3">
        <v>35024437.350000001</v>
      </c>
      <c r="X135" s="3">
        <v>3691</v>
      </c>
      <c r="Y135" s="3">
        <v>9489.1458550000007</v>
      </c>
    </row>
    <row r="136" spans="17:25" x14ac:dyDescent="0.25">
      <c r="Q136" s="3" t="s">
        <v>273</v>
      </c>
      <c r="R136" s="3" t="s">
        <v>275</v>
      </c>
      <c r="S136" s="3" t="s">
        <v>275</v>
      </c>
      <c r="T136" s="3">
        <v>62339927.130000003</v>
      </c>
      <c r="U136" s="3">
        <v>9319</v>
      </c>
      <c r="V136" s="3">
        <v>6689.5511459999998</v>
      </c>
      <c r="W136" s="3">
        <v>33142126.129999999</v>
      </c>
      <c r="X136" s="3">
        <v>8283</v>
      </c>
      <c r="Y136" s="3">
        <v>4001.2225199999998</v>
      </c>
    </row>
    <row r="137" spans="17:25" x14ac:dyDescent="0.25">
      <c r="Q137" s="3" t="s">
        <v>274</v>
      </c>
      <c r="R137" s="3" t="s">
        <v>276</v>
      </c>
      <c r="S137" s="3" t="s">
        <v>277</v>
      </c>
      <c r="T137" s="3">
        <v>53631973.359999999</v>
      </c>
      <c r="U137" s="3">
        <v>29187</v>
      </c>
      <c r="V137" s="3">
        <v>1837.529495</v>
      </c>
      <c r="W137" s="3">
        <v>32625429.989999998</v>
      </c>
      <c r="X137" s="3">
        <v>25507</v>
      </c>
      <c r="Y137" s="3">
        <v>1279.0775080000001</v>
      </c>
    </row>
    <row r="138" spans="17:25" x14ac:dyDescent="0.25">
      <c r="Q138" s="3" t="s">
        <v>1417</v>
      </c>
      <c r="R138" s="3" t="s">
        <v>1541</v>
      </c>
      <c r="S138" s="3" t="s">
        <v>1674</v>
      </c>
      <c r="T138" s="3"/>
      <c r="U138" s="3"/>
      <c r="V138" s="3"/>
      <c r="W138" s="3">
        <v>32609272.190000001</v>
      </c>
      <c r="X138" s="3">
        <v>565</v>
      </c>
      <c r="Y138" s="3">
        <v>57715.525999999998</v>
      </c>
    </row>
    <row r="139" spans="17:25" x14ac:dyDescent="0.25">
      <c r="Q139" s="3" t="s">
        <v>1418</v>
      </c>
      <c r="R139" s="3" t="s">
        <v>1542</v>
      </c>
      <c r="S139" s="3" t="s">
        <v>1675</v>
      </c>
      <c r="T139" s="3"/>
      <c r="U139" s="3"/>
      <c r="V139" s="3"/>
      <c r="W139" s="3">
        <v>31749710.73</v>
      </c>
      <c r="X139" s="3">
        <v>600</v>
      </c>
      <c r="Y139" s="3">
        <v>52916.184549999998</v>
      </c>
    </row>
    <row r="140" spans="17:25" x14ac:dyDescent="0.25">
      <c r="Q140" s="3" t="s">
        <v>278</v>
      </c>
      <c r="R140" s="3" t="s">
        <v>279</v>
      </c>
      <c r="S140" s="3" t="s">
        <v>280</v>
      </c>
      <c r="T140" s="3">
        <v>25947985.260000002</v>
      </c>
      <c r="U140" s="3">
        <v>330</v>
      </c>
      <c r="V140" s="3">
        <v>78630.258360000007</v>
      </c>
      <c r="W140" s="3">
        <v>31423100.870000001</v>
      </c>
      <c r="X140" s="3">
        <v>324</v>
      </c>
      <c r="Y140" s="3">
        <v>96984.879230000006</v>
      </c>
    </row>
    <row r="141" spans="17:25" x14ac:dyDescent="0.25">
      <c r="Q141" s="3" t="s">
        <v>1419</v>
      </c>
      <c r="R141" s="3" t="s">
        <v>1543</v>
      </c>
      <c r="S141" s="3" t="s">
        <v>1676</v>
      </c>
      <c r="T141" s="3"/>
      <c r="U141" s="3"/>
      <c r="V141" s="3"/>
      <c r="W141" s="3">
        <v>31071224.120000001</v>
      </c>
      <c r="X141" s="3">
        <v>559</v>
      </c>
      <c r="Y141" s="3">
        <v>55583.585189999998</v>
      </c>
    </row>
    <row r="142" spans="17:25" x14ac:dyDescent="0.25">
      <c r="Q142" s="3" t="s">
        <v>281</v>
      </c>
      <c r="R142" s="3" t="s">
        <v>284</v>
      </c>
      <c r="S142" s="3" t="s">
        <v>287</v>
      </c>
      <c r="T142" s="3">
        <v>44385976.609999999</v>
      </c>
      <c r="U142" s="3">
        <v>2497</v>
      </c>
      <c r="V142" s="3">
        <v>17775.721509999999</v>
      </c>
      <c r="W142" s="3">
        <v>31007893.030000001</v>
      </c>
      <c r="X142" s="3">
        <v>797</v>
      </c>
      <c r="Y142" s="3">
        <v>38905.762900000002</v>
      </c>
    </row>
    <row r="143" spans="17:25" x14ac:dyDescent="0.25">
      <c r="Q143" s="3" t="s">
        <v>282</v>
      </c>
      <c r="R143" s="3" t="s">
        <v>285</v>
      </c>
      <c r="S143" s="3" t="s">
        <v>288</v>
      </c>
      <c r="T143" s="3">
        <v>55671124.289999999</v>
      </c>
      <c r="U143" s="3">
        <v>82</v>
      </c>
      <c r="V143" s="3">
        <v>678916.14989999996</v>
      </c>
      <c r="W143" s="3">
        <v>30089063.170000002</v>
      </c>
      <c r="X143" s="3">
        <v>70</v>
      </c>
      <c r="Y143" s="3">
        <v>429843.75959999999</v>
      </c>
    </row>
    <row r="144" spans="17:25" x14ac:dyDescent="0.25">
      <c r="Q144" s="3" t="s">
        <v>283</v>
      </c>
      <c r="R144" s="3" t="s">
        <v>286</v>
      </c>
      <c r="S144" s="3" t="s">
        <v>289</v>
      </c>
      <c r="T144" s="3">
        <v>31188756.329999998</v>
      </c>
      <c r="U144" s="3">
        <v>1330</v>
      </c>
      <c r="V144" s="3">
        <v>23450.192729999999</v>
      </c>
      <c r="W144" s="3">
        <v>29490763.809999999</v>
      </c>
      <c r="X144" s="3">
        <v>1135</v>
      </c>
      <c r="Y144" s="3">
        <v>25983.051820000001</v>
      </c>
    </row>
    <row r="145" spans="17:25" x14ac:dyDescent="0.25">
      <c r="Q145" s="3" t="s">
        <v>1420</v>
      </c>
      <c r="R145" s="3" t="s">
        <v>1544</v>
      </c>
      <c r="S145" s="3" t="s">
        <v>1677</v>
      </c>
      <c r="T145" s="3"/>
      <c r="U145" s="3"/>
      <c r="V145" s="3"/>
      <c r="W145" s="3">
        <v>28633447.140000001</v>
      </c>
      <c r="X145" s="3">
        <v>623</v>
      </c>
      <c r="Y145" s="3">
        <v>45960.589310000003</v>
      </c>
    </row>
    <row r="146" spans="17:25" x14ac:dyDescent="0.25">
      <c r="Q146" s="3" t="s">
        <v>290</v>
      </c>
      <c r="R146" s="3" t="s">
        <v>291</v>
      </c>
      <c r="S146" s="3" t="s">
        <v>292</v>
      </c>
      <c r="T146" s="3">
        <v>13990405.060000001</v>
      </c>
      <c r="U146" s="3">
        <v>116</v>
      </c>
      <c r="V146" s="3">
        <v>120606.9402</v>
      </c>
      <c r="W146" s="3">
        <v>27936546.800000001</v>
      </c>
      <c r="X146" s="3">
        <v>176</v>
      </c>
      <c r="Y146" s="3">
        <v>158730.37959999999</v>
      </c>
    </row>
    <row r="147" spans="17:25" x14ac:dyDescent="0.25">
      <c r="Q147" s="3" t="s">
        <v>1421</v>
      </c>
      <c r="R147" s="3" t="s">
        <v>1545</v>
      </c>
      <c r="S147" s="3" t="s">
        <v>1678</v>
      </c>
      <c r="T147" s="3"/>
      <c r="U147" s="3"/>
      <c r="V147" s="3"/>
      <c r="W147" s="3">
        <v>27803163.32</v>
      </c>
      <c r="X147" s="3">
        <v>32679</v>
      </c>
      <c r="Y147" s="3">
        <v>850.79602560000001</v>
      </c>
    </row>
    <row r="148" spans="17:25" x14ac:dyDescent="0.25">
      <c r="Q148" s="3" t="s">
        <v>293</v>
      </c>
      <c r="R148" s="3" t="s">
        <v>294</v>
      </c>
      <c r="S148" s="3" t="s">
        <v>296</v>
      </c>
      <c r="T148" s="3">
        <v>23307502.559999999</v>
      </c>
      <c r="U148" s="3">
        <v>98</v>
      </c>
      <c r="V148" s="3">
        <v>237831.6588</v>
      </c>
      <c r="W148" s="3">
        <v>27094729.050000001</v>
      </c>
      <c r="X148" s="3">
        <v>107</v>
      </c>
      <c r="Y148" s="3">
        <v>253221.76680000001</v>
      </c>
    </row>
    <row r="149" spans="17:25" x14ac:dyDescent="0.25">
      <c r="Q149" s="3">
        <v>90686</v>
      </c>
      <c r="R149" s="3" t="s">
        <v>295</v>
      </c>
      <c r="S149" s="3" t="s">
        <v>297</v>
      </c>
      <c r="T149" s="3">
        <v>39825826.170000002</v>
      </c>
      <c r="U149" s="3">
        <v>2142911</v>
      </c>
      <c r="V149" s="3">
        <v>18.584918439999999</v>
      </c>
      <c r="W149" s="3">
        <v>26785304.370000001</v>
      </c>
      <c r="X149" s="3">
        <v>1272306</v>
      </c>
      <c r="Y149" s="3">
        <v>21.052564690000001</v>
      </c>
    </row>
    <row r="150" spans="17:25" x14ac:dyDescent="0.25">
      <c r="Q150" s="3" t="s">
        <v>1333</v>
      </c>
      <c r="R150" s="3" t="s">
        <v>1546</v>
      </c>
      <c r="S150" s="3" t="s">
        <v>1679</v>
      </c>
      <c r="T150" s="3"/>
      <c r="U150" s="3"/>
      <c r="V150" s="3"/>
      <c r="W150" s="3">
        <v>26671090.620000001</v>
      </c>
      <c r="X150" s="3">
        <v>2086</v>
      </c>
      <c r="Y150" s="3">
        <v>12785.757729999999</v>
      </c>
    </row>
    <row r="151" spans="17:25" x14ac:dyDescent="0.25">
      <c r="Q151" s="3" t="s">
        <v>1422</v>
      </c>
      <c r="R151" s="3" t="s">
        <v>1547</v>
      </c>
      <c r="S151" s="3" t="s">
        <v>1680</v>
      </c>
      <c r="T151" s="3"/>
      <c r="U151" s="3"/>
      <c r="V151" s="3"/>
      <c r="W151" s="3">
        <v>26431754.32</v>
      </c>
      <c r="X151" s="3">
        <v>299</v>
      </c>
      <c r="Y151" s="3">
        <v>88400.51612</v>
      </c>
    </row>
    <row r="152" spans="17:25" x14ac:dyDescent="0.25">
      <c r="Q152" s="3" t="s">
        <v>1423</v>
      </c>
      <c r="R152" s="3" t="s">
        <v>1548</v>
      </c>
      <c r="S152" s="3" t="s">
        <v>1681</v>
      </c>
      <c r="T152" s="3"/>
      <c r="U152" s="3"/>
      <c r="V152" s="3"/>
      <c r="W152" s="3">
        <v>25073291.899999999</v>
      </c>
      <c r="X152" s="3">
        <v>599</v>
      </c>
      <c r="Y152" s="3">
        <v>41858.584139999999</v>
      </c>
    </row>
    <row r="153" spans="17:25" x14ac:dyDescent="0.25">
      <c r="Q153" s="3" t="s">
        <v>1424</v>
      </c>
      <c r="R153" s="3" t="s">
        <v>1549</v>
      </c>
      <c r="S153" s="3" t="s">
        <v>1682</v>
      </c>
      <c r="T153" s="3"/>
      <c r="U153" s="3"/>
      <c r="V153" s="3"/>
      <c r="W153" s="3">
        <v>25067596.359999999</v>
      </c>
      <c r="X153" s="3">
        <v>324</v>
      </c>
      <c r="Y153" s="3">
        <v>77369.12457</v>
      </c>
    </row>
    <row r="154" spans="17:25" x14ac:dyDescent="0.25">
      <c r="Q154" s="3" t="s">
        <v>1425</v>
      </c>
      <c r="R154" s="3" t="s">
        <v>1550</v>
      </c>
      <c r="S154" s="3" t="s">
        <v>1683</v>
      </c>
      <c r="T154" s="3"/>
      <c r="U154" s="3"/>
      <c r="V154" s="3"/>
      <c r="W154" s="3">
        <v>24116608.75</v>
      </c>
      <c r="X154" s="3">
        <v>478</v>
      </c>
      <c r="Y154" s="3">
        <v>50453.15638</v>
      </c>
    </row>
    <row r="155" spans="17:25" x14ac:dyDescent="0.25">
      <c r="Q155" s="3" t="s">
        <v>298</v>
      </c>
      <c r="R155" s="3" t="s">
        <v>300</v>
      </c>
      <c r="S155" s="3" t="s">
        <v>302</v>
      </c>
      <c r="T155" s="3">
        <v>16997410.449999999</v>
      </c>
      <c r="U155" s="3">
        <v>7979</v>
      </c>
      <c r="V155" s="3">
        <v>2130.2682599999998</v>
      </c>
      <c r="W155" s="3">
        <v>23819755.050000001</v>
      </c>
      <c r="X155" s="3">
        <v>7180</v>
      </c>
      <c r="Y155" s="3">
        <v>3317.514631</v>
      </c>
    </row>
    <row r="156" spans="17:25" x14ac:dyDescent="0.25">
      <c r="Q156" s="3" t="s">
        <v>299</v>
      </c>
      <c r="R156" s="3" t="s">
        <v>301</v>
      </c>
      <c r="S156" s="3" t="s">
        <v>303</v>
      </c>
      <c r="T156" s="3">
        <v>82372201.439999998</v>
      </c>
      <c r="U156" s="3">
        <v>53373</v>
      </c>
      <c r="V156" s="3">
        <v>1543.330925</v>
      </c>
      <c r="W156" s="3">
        <v>23369415.460000001</v>
      </c>
      <c r="X156" s="3">
        <v>49302</v>
      </c>
      <c r="Y156" s="3">
        <v>474.00542489999998</v>
      </c>
    </row>
    <row r="157" spans="17:25" x14ac:dyDescent="0.25">
      <c r="Q157" s="3" t="s">
        <v>1426</v>
      </c>
      <c r="R157" s="3" t="s">
        <v>1551</v>
      </c>
      <c r="S157" s="3" t="s">
        <v>1684</v>
      </c>
      <c r="T157" s="3"/>
      <c r="U157" s="3"/>
      <c r="V157" s="3"/>
      <c r="W157" s="3">
        <v>22765670.93</v>
      </c>
      <c r="X157" s="3">
        <v>7823</v>
      </c>
      <c r="Y157" s="3">
        <v>2910.0947120000001</v>
      </c>
    </row>
    <row r="158" spans="17:25" x14ac:dyDescent="0.25">
      <c r="Q158" s="3" t="s">
        <v>304</v>
      </c>
      <c r="R158" s="3" t="s">
        <v>305</v>
      </c>
      <c r="S158" s="3" t="s">
        <v>307</v>
      </c>
      <c r="T158" s="3">
        <v>19431787.760000002</v>
      </c>
      <c r="U158" s="3">
        <v>397</v>
      </c>
      <c r="V158" s="3">
        <v>48946.568670000001</v>
      </c>
      <c r="W158" s="3">
        <v>22539700.710000001</v>
      </c>
      <c r="X158" s="3">
        <v>459</v>
      </c>
      <c r="Y158" s="3">
        <v>49106.101770000001</v>
      </c>
    </row>
    <row r="159" spans="17:25" x14ac:dyDescent="0.25">
      <c r="Q159" s="3">
        <v>90682</v>
      </c>
      <c r="R159" s="3" t="s">
        <v>306</v>
      </c>
      <c r="S159" s="3" t="s">
        <v>308</v>
      </c>
      <c r="T159" s="3">
        <v>17105301.210000001</v>
      </c>
      <c r="U159" s="3">
        <v>346743</v>
      </c>
      <c r="V159" s="3">
        <v>49.331352649999999</v>
      </c>
      <c r="W159" s="3">
        <v>22034217.93</v>
      </c>
      <c r="X159" s="3">
        <v>356294</v>
      </c>
      <c r="Y159" s="3">
        <v>61.842798170000002</v>
      </c>
    </row>
    <row r="160" spans="17:25" x14ac:dyDescent="0.25">
      <c r="Q160" s="3" t="s">
        <v>1427</v>
      </c>
      <c r="R160" s="3" t="s">
        <v>1552</v>
      </c>
      <c r="S160" s="3" t="s">
        <v>1685</v>
      </c>
      <c r="T160" s="3"/>
      <c r="U160" s="3"/>
      <c r="V160" s="3"/>
      <c r="W160" s="3">
        <v>21888389.800000001</v>
      </c>
      <c r="X160" s="3">
        <v>6659</v>
      </c>
      <c r="Y160" s="3">
        <v>3287.038564</v>
      </c>
    </row>
    <row r="161" spans="17:25" x14ac:dyDescent="0.25">
      <c r="Q161" s="3" t="s">
        <v>309</v>
      </c>
      <c r="R161" s="3" t="s">
        <v>315</v>
      </c>
      <c r="S161" s="3" t="s">
        <v>321</v>
      </c>
      <c r="T161" s="3">
        <v>17107436.550000001</v>
      </c>
      <c r="U161" s="3">
        <v>168</v>
      </c>
      <c r="V161" s="3">
        <v>101829.9795</v>
      </c>
      <c r="W161" s="3">
        <v>21749113.359999999</v>
      </c>
      <c r="X161" s="3">
        <v>155</v>
      </c>
      <c r="Y161" s="3">
        <v>140316.86040000001</v>
      </c>
    </row>
    <row r="162" spans="17:25" x14ac:dyDescent="0.25">
      <c r="Q162" s="3" t="s">
        <v>310</v>
      </c>
      <c r="R162" s="3" t="s">
        <v>316</v>
      </c>
      <c r="S162" s="3" t="s">
        <v>316</v>
      </c>
      <c r="T162" s="3">
        <v>23076288.940000001</v>
      </c>
      <c r="U162" s="3">
        <v>9335</v>
      </c>
      <c r="V162" s="3">
        <v>2472.018098</v>
      </c>
      <c r="W162" s="3">
        <v>20790960.739999998</v>
      </c>
      <c r="X162" s="3">
        <v>8046</v>
      </c>
      <c r="Y162" s="3">
        <v>2584.0120230000002</v>
      </c>
    </row>
    <row r="163" spans="17:25" x14ac:dyDescent="0.25">
      <c r="Q163" s="3" t="s">
        <v>311</v>
      </c>
      <c r="R163" s="3" t="s">
        <v>317</v>
      </c>
      <c r="S163" s="3" t="s">
        <v>322</v>
      </c>
      <c r="T163" s="3">
        <v>19662664.879999999</v>
      </c>
      <c r="U163" s="3">
        <v>3048</v>
      </c>
      <c r="V163" s="3">
        <v>6451.0055380000003</v>
      </c>
      <c r="W163" s="3">
        <v>19742375.280000001</v>
      </c>
      <c r="X163" s="3">
        <v>3289</v>
      </c>
      <c r="Y163" s="3">
        <v>6002.5464519999996</v>
      </c>
    </row>
    <row r="164" spans="17:25" x14ac:dyDescent="0.25">
      <c r="Q164" s="3" t="s">
        <v>312</v>
      </c>
      <c r="R164" s="3" t="s">
        <v>318</v>
      </c>
      <c r="S164" s="3" t="s">
        <v>323</v>
      </c>
      <c r="T164" s="3">
        <v>16462837.050000001</v>
      </c>
      <c r="U164" s="3">
        <v>8428</v>
      </c>
      <c r="V164" s="3">
        <v>1953.3503860000001</v>
      </c>
      <c r="W164" s="3">
        <v>19592905.300000001</v>
      </c>
      <c r="X164" s="3">
        <v>8992</v>
      </c>
      <c r="Y164" s="3">
        <v>2178.926301</v>
      </c>
    </row>
    <row r="165" spans="17:25" x14ac:dyDescent="0.25">
      <c r="Q165" s="3" t="s">
        <v>313</v>
      </c>
      <c r="R165" s="3" t="s">
        <v>319</v>
      </c>
      <c r="S165" s="3" t="s">
        <v>324</v>
      </c>
      <c r="T165" s="3">
        <v>40862655.009999998</v>
      </c>
      <c r="U165" s="3">
        <v>185</v>
      </c>
      <c r="V165" s="3">
        <v>220879.2163</v>
      </c>
      <c r="W165" s="3">
        <v>19374146.18</v>
      </c>
      <c r="X165" s="3">
        <v>125</v>
      </c>
      <c r="Y165" s="3">
        <v>154993.16940000001</v>
      </c>
    </row>
    <row r="166" spans="17:25" x14ac:dyDescent="0.25">
      <c r="Q166" s="3" t="s">
        <v>314</v>
      </c>
      <c r="R166" s="3" t="s">
        <v>320</v>
      </c>
      <c r="S166" s="3" t="s">
        <v>325</v>
      </c>
      <c r="T166" s="3">
        <v>50867872.009999998</v>
      </c>
      <c r="U166" s="3">
        <v>100261</v>
      </c>
      <c r="V166" s="3">
        <v>507.35452479999998</v>
      </c>
      <c r="W166" s="3">
        <v>19241339.010000002</v>
      </c>
      <c r="X166" s="3">
        <v>45056</v>
      </c>
      <c r="Y166" s="3">
        <v>427.05386650000003</v>
      </c>
    </row>
    <row r="167" spans="17:25" x14ac:dyDescent="0.25">
      <c r="Q167" s="3" t="s">
        <v>1314</v>
      </c>
      <c r="R167" s="3" t="s">
        <v>1553</v>
      </c>
      <c r="S167" s="3" t="s">
        <v>1686</v>
      </c>
      <c r="T167" s="3"/>
      <c r="U167" s="3"/>
      <c r="V167" s="3"/>
      <c r="W167" s="3">
        <v>19235277.84</v>
      </c>
      <c r="X167" s="3">
        <v>597</v>
      </c>
      <c r="Y167" s="3">
        <v>32219.89588</v>
      </c>
    </row>
    <row r="168" spans="17:25" x14ac:dyDescent="0.25">
      <c r="Q168" s="3" t="s">
        <v>326</v>
      </c>
      <c r="R168" s="3" t="s">
        <v>332</v>
      </c>
      <c r="S168" s="3"/>
      <c r="T168" s="3">
        <v>10787142.789999999</v>
      </c>
      <c r="U168" s="3">
        <v>987</v>
      </c>
      <c r="V168" s="3">
        <v>10929.222690000001</v>
      </c>
      <c r="W168" s="3">
        <v>18737692.949999999</v>
      </c>
      <c r="X168" s="3">
        <v>1458</v>
      </c>
      <c r="Y168" s="3">
        <v>12851.64126</v>
      </c>
    </row>
    <row r="169" spans="17:25" x14ac:dyDescent="0.25">
      <c r="Q169" s="3" t="s">
        <v>327</v>
      </c>
      <c r="R169" s="3" t="s">
        <v>333</v>
      </c>
      <c r="S169" s="3" t="s">
        <v>338</v>
      </c>
      <c r="T169" s="3">
        <v>39527774.890000001</v>
      </c>
      <c r="U169" s="3">
        <v>19404</v>
      </c>
      <c r="V169" s="3">
        <v>2037.0941499999999</v>
      </c>
      <c r="W169" s="3">
        <v>18684232.199999999</v>
      </c>
      <c r="X169" s="3">
        <v>18746</v>
      </c>
      <c r="Y169" s="3">
        <v>996.70501439999998</v>
      </c>
    </row>
    <row r="170" spans="17:25" x14ac:dyDescent="0.25">
      <c r="Q170" s="3" t="s">
        <v>328</v>
      </c>
      <c r="R170" s="3" t="s">
        <v>334</v>
      </c>
      <c r="S170" s="3" t="s">
        <v>339</v>
      </c>
      <c r="T170" s="3">
        <v>19707512.510000002</v>
      </c>
      <c r="U170" s="3">
        <v>1871</v>
      </c>
      <c r="V170" s="3">
        <v>10533.144050000001</v>
      </c>
      <c r="W170" s="3">
        <v>18573468.699999999</v>
      </c>
      <c r="X170" s="3">
        <v>1503</v>
      </c>
      <c r="Y170" s="3">
        <v>12357.59727</v>
      </c>
    </row>
    <row r="171" spans="17:25" x14ac:dyDescent="0.25">
      <c r="Q171" s="3" t="s">
        <v>329</v>
      </c>
      <c r="R171" s="3" t="s">
        <v>335</v>
      </c>
      <c r="S171" s="3" t="s">
        <v>340</v>
      </c>
      <c r="T171" s="3">
        <v>44460521.469999999</v>
      </c>
      <c r="U171" s="3">
        <v>27475</v>
      </c>
      <c r="V171" s="3">
        <v>1618.2173419999999</v>
      </c>
      <c r="W171" s="3">
        <v>18199047.710000001</v>
      </c>
      <c r="X171" s="3">
        <v>25636</v>
      </c>
      <c r="Y171" s="3">
        <v>709.90200149999998</v>
      </c>
    </row>
    <row r="172" spans="17:25" x14ac:dyDescent="0.25">
      <c r="Q172" s="3" t="s">
        <v>330</v>
      </c>
      <c r="R172" s="3" t="s">
        <v>336</v>
      </c>
      <c r="S172" s="3" t="s">
        <v>341</v>
      </c>
      <c r="T172" s="3">
        <v>17791224.620000001</v>
      </c>
      <c r="U172" s="3">
        <v>13252</v>
      </c>
      <c r="V172" s="3">
        <v>1342.531287</v>
      </c>
      <c r="W172" s="3">
        <v>18178464.5</v>
      </c>
      <c r="X172" s="3">
        <v>12396</v>
      </c>
      <c r="Y172" s="3">
        <v>1466.478259</v>
      </c>
    </row>
    <row r="173" spans="17:25" x14ac:dyDescent="0.25">
      <c r="Q173" s="3" t="s">
        <v>331</v>
      </c>
      <c r="R173" s="3" t="s">
        <v>337</v>
      </c>
      <c r="S173" s="3" t="s">
        <v>342</v>
      </c>
      <c r="T173" s="3">
        <v>17837988.350000001</v>
      </c>
      <c r="U173" s="3">
        <v>2517</v>
      </c>
      <c r="V173" s="3">
        <v>7087.0037149999998</v>
      </c>
      <c r="W173" s="3">
        <v>17953540.559999999</v>
      </c>
      <c r="X173" s="3">
        <v>2173</v>
      </c>
      <c r="Y173" s="3">
        <v>8262.0987389999991</v>
      </c>
    </row>
    <row r="174" spans="17:25" x14ac:dyDescent="0.25">
      <c r="Q174" s="3" t="s">
        <v>1428</v>
      </c>
      <c r="R174" s="3" t="s">
        <v>1554</v>
      </c>
      <c r="S174" s="3" t="s">
        <v>1687</v>
      </c>
      <c r="T174" s="3"/>
      <c r="U174" s="3"/>
      <c r="V174" s="3"/>
      <c r="W174" s="3">
        <v>17804768.390000001</v>
      </c>
      <c r="X174" s="3">
        <v>46</v>
      </c>
      <c r="Y174" s="3">
        <v>387060.18239999999</v>
      </c>
    </row>
    <row r="175" spans="17:25" x14ac:dyDescent="0.25">
      <c r="Q175" s="3" t="s">
        <v>343</v>
      </c>
      <c r="R175" s="3" t="s">
        <v>345</v>
      </c>
      <c r="S175" s="3" t="s">
        <v>347</v>
      </c>
      <c r="T175" s="3">
        <v>24436143.359999999</v>
      </c>
      <c r="U175" s="3">
        <v>1908770</v>
      </c>
      <c r="V175" s="3">
        <v>12.802036579999999</v>
      </c>
      <c r="W175" s="3">
        <v>17098175.18</v>
      </c>
      <c r="X175" s="3">
        <v>1850482</v>
      </c>
      <c r="Y175" s="3">
        <v>9.239849499</v>
      </c>
    </row>
    <row r="176" spans="17:25" x14ac:dyDescent="0.25">
      <c r="Q176" s="3" t="s">
        <v>344</v>
      </c>
      <c r="R176" s="3" t="s">
        <v>346</v>
      </c>
      <c r="S176" s="3" t="s">
        <v>171</v>
      </c>
      <c r="T176" s="3">
        <v>44821632.310000002</v>
      </c>
      <c r="U176" s="3">
        <v>2123</v>
      </c>
      <c r="V176" s="3">
        <v>21112.403350000001</v>
      </c>
      <c r="W176" s="3">
        <v>17020133.18</v>
      </c>
      <c r="X176" s="3">
        <v>751</v>
      </c>
      <c r="Y176" s="3">
        <v>22663.293180000001</v>
      </c>
    </row>
    <row r="177" spans="17:25" x14ac:dyDescent="0.25">
      <c r="Q177" s="3" t="s">
        <v>1429</v>
      </c>
      <c r="R177" s="3" t="s">
        <v>1555</v>
      </c>
      <c r="S177" s="3" t="s">
        <v>1688</v>
      </c>
      <c r="T177" s="3"/>
      <c r="U177" s="3"/>
      <c r="V177" s="3"/>
      <c r="W177" s="3">
        <v>16830600.75</v>
      </c>
      <c r="X177" s="3">
        <v>129</v>
      </c>
      <c r="Y177" s="3">
        <v>130469.7733</v>
      </c>
    </row>
    <row r="178" spans="17:25" x14ac:dyDescent="0.25">
      <c r="Q178" s="3" t="s">
        <v>348</v>
      </c>
      <c r="R178" s="3" t="s">
        <v>358</v>
      </c>
      <c r="S178" s="3" t="s">
        <v>368</v>
      </c>
      <c r="T178" s="3">
        <v>20175955.620000001</v>
      </c>
      <c r="U178" s="3">
        <v>535</v>
      </c>
      <c r="V178" s="3">
        <v>37712.066579999999</v>
      </c>
      <c r="W178" s="3">
        <v>16766234.73</v>
      </c>
      <c r="X178" s="3">
        <v>390</v>
      </c>
      <c r="Y178" s="3">
        <v>42990.345459999997</v>
      </c>
    </row>
    <row r="179" spans="17:25" x14ac:dyDescent="0.25">
      <c r="Q179" s="3" t="s">
        <v>349</v>
      </c>
      <c r="R179" s="3" t="s">
        <v>359</v>
      </c>
      <c r="S179" s="3" t="s">
        <v>369</v>
      </c>
      <c r="T179" s="3">
        <v>76571.63</v>
      </c>
      <c r="U179" s="3">
        <v>219</v>
      </c>
      <c r="V179" s="3">
        <v>349.64214609999999</v>
      </c>
      <c r="W179" s="3">
        <v>16231025.73</v>
      </c>
      <c r="X179" s="3">
        <v>10372</v>
      </c>
      <c r="Y179" s="3">
        <v>1564.8887130000001</v>
      </c>
    </row>
    <row r="180" spans="17:25" x14ac:dyDescent="0.25">
      <c r="Q180" s="3" t="s">
        <v>350</v>
      </c>
      <c r="R180" s="3" t="s">
        <v>360</v>
      </c>
      <c r="S180" s="3" t="s">
        <v>370</v>
      </c>
      <c r="T180" s="3">
        <v>40366233.530000001</v>
      </c>
      <c r="U180" s="3">
        <v>14841</v>
      </c>
      <c r="V180" s="3">
        <v>2719.913317</v>
      </c>
      <c r="W180" s="3">
        <v>16004307.51</v>
      </c>
      <c r="X180" s="3">
        <v>6630</v>
      </c>
      <c r="Y180" s="3">
        <v>2413.922701</v>
      </c>
    </row>
    <row r="181" spans="17:25" x14ac:dyDescent="0.25">
      <c r="Q181" s="3" t="s">
        <v>351</v>
      </c>
      <c r="R181" s="3" t="s">
        <v>361</v>
      </c>
      <c r="S181" s="3" t="s">
        <v>371</v>
      </c>
      <c r="T181" s="3">
        <v>15683848.43</v>
      </c>
      <c r="U181" s="3">
        <v>19442</v>
      </c>
      <c r="V181" s="3">
        <v>806.69933289999994</v>
      </c>
      <c r="W181" s="3">
        <v>15634280.16</v>
      </c>
      <c r="X181" s="3">
        <v>19898</v>
      </c>
      <c r="Y181" s="3">
        <v>785.72118609999995</v>
      </c>
    </row>
    <row r="182" spans="17:25" x14ac:dyDescent="0.25">
      <c r="Q182" s="3" t="s">
        <v>352</v>
      </c>
      <c r="R182" s="3" t="s">
        <v>362</v>
      </c>
      <c r="S182" s="3" t="s">
        <v>372</v>
      </c>
      <c r="T182" s="3">
        <v>20736596.66</v>
      </c>
      <c r="U182" s="3">
        <v>770644</v>
      </c>
      <c r="V182" s="3">
        <v>26.908140020000001</v>
      </c>
      <c r="W182" s="3">
        <v>15538436.630000001</v>
      </c>
      <c r="X182" s="3">
        <v>594874</v>
      </c>
      <c r="Y182" s="3">
        <v>26.120550959999999</v>
      </c>
    </row>
    <row r="183" spans="17:25" x14ac:dyDescent="0.25">
      <c r="Q183" s="3" t="s">
        <v>353</v>
      </c>
      <c r="R183" s="3" t="s">
        <v>363</v>
      </c>
      <c r="S183" s="3" t="s">
        <v>373</v>
      </c>
      <c r="T183" s="3">
        <v>62203653.049999997</v>
      </c>
      <c r="U183" s="3">
        <v>4826</v>
      </c>
      <c r="V183" s="3">
        <v>12889.277470000001</v>
      </c>
      <c r="W183" s="3">
        <v>15288868.26</v>
      </c>
      <c r="X183" s="3">
        <v>5144</v>
      </c>
      <c r="Y183" s="3">
        <v>2972.1750120000002</v>
      </c>
    </row>
    <row r="184" spans="17:25" x14ac:dyDescent="0.25">
      <c r="Q184" s="3" t="s">
        <v>354</v>
      </c>
      <c r="R184" s="3" t="s">
        <v>364</v>
      </c>
      <c r="S184" s="3" t="s">
        <v>374</v>
      </c>
      <c r="T184" s="3">
        <v>20522449.800000001</v>
      </c>
      <c r="U184" s="3">
        <v>97</v>
      </c>
      <c r="V184" s="3">
        <v>211571.64739999999</v>
      </c>
      <c r="W184" s="3">
        <v>15124882.039999999</v>
      </c>
      <c r="X184" s="3">
        <v>73</v>
      </c>
      <c r="Y184" s="3">
        <v>207190.1649</v>
      </c>
    </row>
    <row r="185" spans="17:25" x14ac:dyDescent="0.25">
      <c r="Q185" s="3" t="s">
        <v>355</v>
      </c>
      <c r="R185" s="3" t="s">
        <v>365</v>
      </c>
      <c r="S185" s="3" t="s">
        <v>375</v>
      </c>
      <c r="T185" s="3">
        <v>7813655.0800000001</v>
      </c>
      <c r="U185" s="3">
        <v>2300</v>
      </c>
      <c r="V185" s="3">
        <v>3397.2413390000002</v>
      </c>
      <c r="W185" s="3">
        <v>14826932.529999999</v>
      </c>
      <c r="X185" s="3">
        <v>3546</v>
      </c>
      <c r="Y185" s="3">
        <v>4181.3120500000005</v>
      </c>
    </row>
    <row r="186" spans="17:25" x14ac:dyDescent="0.25">
      <c r="Q186" s="3" t="s">
        <v>356</v>
      </c>
      <c r="R186" s="3" t="s">
        <v>366</v>
      </c>
      <c r="S186" s="3" t="s">
        <v>376</v>
      </c>
      <c r="T186" s="3">
        <v>22057263.629999999</v>
      </c>
      <c r="U186" s="3">
        <v>7283</v>
      </c>
      <c r="V186" s="3">
        <v>3028.5958580000001</v>
      </c>
      <c r="W186" s="3">
        <v>14674103.460000001</v>
      </c>
      <c r="X186" s="3">
        <v>6543</v>
      </c>
      <c r="Y186" s="3">
        <v>2242.7179369999999</v>
      </c>
    </row>
    <row r="187" spans="17:25" x14ac:dyDescent="0.25">
      <c r="Q187" s="3" t="s">
        <v>357</v>
      </c>
      <c r="R187" s="3" t="s">
        <v>367</v>
      </c>
      <c r="S187" s="3" t="s">
        <v>48</v>
      </c>
      <c r="T187" s="3">
        <v>341056.99</v>
      </c>
      <c r="U187" s="3">
        <v>14</v>
      </c>
      <c r="V187" s="3">
        <v>24361.21357</v>
      </c>
      <c r="W187" s="3">
        <v>14563312.199999999</v>
      </c>
      <c r="X187" s="3">
        <v>412</v>
      </c>
      <c r="Y187" s="3">
        <v>35347.845150000001</v>
      </c>
    </row>
    <row r="188" spans="17:25" x14ac:dyDescent="0.25">
      <c r="Q188" s="3" t="s">
        <v>1430</v>
      </c>
      <c r="R188" s="3" t="s">
        <v>1556</v>
      </c>
      <c r="S188" s="3" t="s">
        <v>1689</v>
      </c>
      <c r="T188" s="3"/>
      <c r="U188" s="3"/>
      <c r="V188" s="3"/>
      <c r="W188" s="3">
        <v>14412378.26</v>
      </c>
      <c r="X188" s="3">
        <v>20165</v>
      </c>
      <c r="Y188" s="3">
        <v>714.72245280000004</v>
      </c>
    </row>
    <row r="189" spans="17:25" x14ac:dyDescent="0.25">
      <c r="Q189" s="3" t="s">
        <v>1431</v>
      </c>
      <c r="R189" s="3" t="s">
        <v>1557</v>
      </c>
      <c r="S189" s="3" t="s">
        <v>1690</v>
      </c>
      <c r="T189" s="3"/>
      <c r="U189" s="3"/>
      <c r="V189" s="3"/>
      <c r="W189" s="3">
        <v>14295748.779999999</v>
      </c>
      <c r="X189" s="3">
        <v>71</v>
      </c>
      <c r="Y189" s="3">
        <v>201348.57440000001</v>
      </c>
    </row>
    <row r="190" spans="17:25" x14ac:dyDescent="0.25">
      <c r="Q190" s="3" t="s">
        <v>377</v>
      </c>
      <c r="R190" s="3" t="s">
        <v>379</v>
      </c>
      <c r="S190" s="3" t="s">
        <v>381</v>
      </c>
      <c r="T190" s="3">
        <v>88616214.840000004</v>
      </c>
      <c r="U190" s="3">
        <v>75435</v>
      </c>
      <c r="V190" s="3">
        <v>1174.7360619999999</v>
      </c>
      <c r="W190" s="3">
        <v>13921517.57</v>
      </c>
      <c r="X190" s="3">
        <v>69586</v>
      </c>
      <c r="Y190" s="3">
        <v>200.06204650000001</v>
      </c>
    </row>
    <row r="191" spans="17:25" x14ac:dyDescent="0.25">
      <c r="Q191" s="3" t="s">
        <v>378</v>
      </c>
      <c r="R191" s="3" t="s">
        <v>380</v>
      </c>
      <c r="S191" s="3" t="s">
        <v>382</v>
      </c>
      <c r="T191" s="3">
        <v>10628637.6</v>
      </c>
      <c r="U191" s="3">
        <v>1391</v>
      </c>
      <c r="V191" s="3">
        <v>7641.0047450000002</v>
      </c>
      <c r="W191" s="3">
        <v>13796620.52</v>
      </c>
      <c r="X191" s="3">
        <v>1798</v>
      </c>
      <c r="Y191" s="3">
        <v>7673.3150830000004</v>
      </c>
    </row>
    <row r="192" spans="17:25" x14ac:dyDescent="0.25">
      <c r="Q192" s="3" t="s">
        <v>1432</v>
      </c>
      <c r="R192" s="3" t="s">
        <v>1558</v>
      </c>
      <c r="S192" s="3" t="s">
        <v>1691</v>
      </c>
      <c r="T192" s="3"/>
      <c r="U192" s="3"/>
      <c r="V192" s="3"/>
      <c r="W192" s="3">
        <v>13521358.23</v>
      </c>
      <c r="X192" s="3">
        <v>52</v>
      </c>
      <c r="Y192" s="3">
        <v>260026.11979999999</v>
      </c>
    </row>
    <row r="193" spans="17:25" x14ac:dyDescent="0.25">
      <c r="Q193" s="3">
        <v>90674</v>
      </c>
      <c r="R193" s="3" t="s">
        <v>384</v>
      </c>
      <c r="S193" s="3" t="s">
        <v>386</v>
      </c>
      <c r="T193" s="3">
        <v>16619925.85</v>
      </c>
      <c r="U193" s="3">
        <v>700308</v>
      </c>
      <c r="V193" s="3">
        <v>23.732309000000001</v>
      </c>
      <c r="W193" s="3">
        <v>13428000.52</v>
      </c>
      <c r="X193" s="3">
        <v>460331</v>
      </c>
      <c r="Y193" s="3">
        <v>29.17031553</v>
      </c>
    </row>
    <row r="194" spans="17:25" x14ac:dyDescent="0.25">
      <c r="Q194" s="3" t="s">
        <v>383</v>
      </c>
      <c r="R194" s="3" t="s">
        <v>385</v>
      </c>
      <c r="S194" s="3" t="s">
        <v>387</v>
      </c>
      <c r="T194" s="3">
        <v>19208545.09</v>
      </c>
      <c r="U194" s="3">
        <v>1248</v>
      </c>
      <c r="V194" s="3">
        <v>15391.46241</v>
      </c>
      <c r="W194" s="3">
        <v>13358292.039999999</v>
      </c>
      <c r="X194" s="3">
        <v>363</v>
      </c>
      <c r="Y194" s="3">
        <v>36799.702590000001</v>
      </c>
    </row>
    <row r="195" spans="17:25" x14ac:dyDescent="0.25">
      <c r="Q195" s="3" t="s">
        <v>1433</v>
      </c>
      <c r="R195" s="3" t="s">
        <v>1559</v>
      </c>
      <c r="S195" s="3" t="s">
        <v>1692</v>
      </c>
      <c r="T195" s="3"/>
      <c r="U195" s="3"/>
      <c r="V195" s="3"/>
      <c r="W195" s="3">
        <v>13254350.859999999</v>
      </c>
      <c r="X195" s="3">
        <v>22</v>
      </c>
      <c r="Y195" s="3">
        <v>602470.49360000005</v>
      </c>
    </row>
    <row r="196" spans="17:25" x14ac:dyDescent="0.25">
      <c r="Q196" s="3" t="s">
        <v>1434</v>
      </c>
      <c r="R196" s="3" t="s">
        <v>1560</v>
      </c>
      <c r="S196" s="3" t="s">
        <v>1693</v>
      </c>
      <c r="T196" s="3"/>
      <c r="U196" s="3"/>
      <c r="V196" s="3"/>
      <c r="W196" s="3">
        <v>13124538.73</v>
      </c>
      <c r="X196" s="3">
        <v>4256</v>
      </c>
      <c r="Y196" s="3">
        <v>3083.7731979999999</v>
      </c>
    </row>
    <row r="197" spans="17:25" x14ac:dyDescent="0.25">
      <c r="Q197" s="3" t="s">
        <v>388</v>
      </c>
      <c r="R197" s="3" t="s">
        <v>389</v>
      </c>
      <c r="S197" s="3" t="s">
        <v>390</v>
      </c>
      <c r="T197" s="3">
        <v>9859730.2200000007</v>
      </c>
      <c r="U197" s="3">
        <v>162</v>
      </c>
      <c r="V197" s="3">
        <v>60862.532220000001</v>
      </c>
      <c r="W197" s="3">
        <v>13123767.68</v>
      </c>
      <c r="X197" s="3">
        <v>178</v>
      </c>
      <c r="Y197" s="3">
        <v>73729.031910000005</v>
      </c>
    </row>
    <row r="198" spans="17:25" x14ac:dyDescent="0.25">
      <c r="Q198" s="3" t="s">
        <v>1435</v>
      </c>
      <c r="R198" s="3" t="s">
        <v>1561</v>
      </c>
      <c r="S198" s="3" t="s">
        <v>1694</v>
      </c>
      <c r="T198" s="3"/>
      <c r="U198" s="3"/>
      <c r="V198" s="3"/>
      <c r="W198" s="3">
        <v>12936886.289999999</v>
      </c>
      <c r="X198" s="3">
        <v>2236</v>
      </c>
      <c r="Y198" s="3">
        <v>5785.7273210000003</v>
      </c>
    </row>
    <row r="199" spans="17:25" x14ac:dyDescent="0.25">
      <c r="Q199" s="3" t="s">
        <v>391</v>
      </c>
      <c r="R199" s="3" t="s">
        <v>393</v>
      </c>
      <c r="S199" s="3" t="s">
        <v>395</v>
      </c>
      <c r="T199" s="3">
        <v>18181488.539999999</v>
      </c>
      <c r="U199" s="3">
        <v>1217555</v>
      </c>
      <c r="V199" s="3">
        <v>14.93278623</v>
      </c>
      <c r="W199" s="3">
        <v>12224204.390000001</v>
      </c>
      <c r="X199" s="3">
        <v>961271</v>
      </c>
      <c r="Y199" s="3">
        <v>12.716709850000001</v>
      </c>
    </row>
    <row r="200" spans="17:25" x14ac:dyDescent="0.25">
      <c r="Q200" s="3" t="s">
        <v>392</v>
      </c>
      <c r="R200" s="3" t="s">
        <v>394</v>
      </c>
      <c r="S200" s="3" t="s">
        <v>395</v>
      </c>
      <c r="T200" s="3">
        <v>20626986</v>
      </c>
      <c r="U200" s="3">
        <v>885758</v>
      </c>
      <c r="V200" s="3">
        <v>23.28738324</v>
      </c>
      <c r="W200" s="3">
        <v>12107604.02</v>
      </c>
      <c r="X200" s="3">
        <v>633512</v>
      </c>
      <c r="Y200" s="3">
        <v>19.111877939999999</v>
      </c>
    </row>
    <row r="201" spans="17:25" x14ac:dyDescent="0.25">
      <c r="Q201" s="3" t="s">
        <v>1436</v>
      </c>
      <c r="R201" s="3" t="s">
        <v>1562</v>
      </c>
      <c r="S201" s="3" t="s">
        <v>1695</v>
      </c>
      <c r="T201" s="3"/>
      <c r="U201" s="3"/>
      <c r="V201" s="3"/>
      <c r="W201" s="3">
        <v>12048141.789999999</v>
      </c>
      <c r="X201" s="3">
        <v>669</v>
      </c>
      <c r="Y201" s="3">
        <v>18009.180550000001</v>
      </c>
    </row>
    <row r="202" spans="17:25" x14ac:dyDescent="0.25">
      <c r="Q202" s="3" t="s">
        <v>1437</v>
      </c>
      <c r="R202" s="3" t="s">
        <v>1563</v>
      </c>
      <c r="S202" s="3" t="s">
        <v>103</v>
      </c>
      <c r="T202" s="3">
        <v>8213622.0700000003</v>
      </c>
      <c r="U202" s="3">
        <v>1692</v>
      </c>
      <c r="V202" s="3">
        <v>4854.3865660000001</v>
      </c>
      <c r="W202" s="3">
        <v>11992514.59</v>
      </c>
      <c r="X202" s="3">
        <v>2621</v>
      </c>
      <c r="Y202" s="3">
        <v>4575.5492519999998</v>
      </c>
    </row>
    <row r="203" spans="17:25" x14ac:dyDescent="0.25">
      <c r="Q203" s="3" t="s">
        <v>1373</v>
      </c>
      <c r="R203" s="3" t="s">
        <v>1564</v>
      </c>
      <c r="S203" s="3" t="s">
        <v>1696</v>
      </c>
      <c r="T203" s="3"/>
      <c r="U203" s="3"/>
      <c r="V203" s="3"/>
      <c r="W203" s="3">
        <v>11960083.07</v>
      </c>
      <c r="X203" s="3">
        <v>782</v>
      </c>
      <c r="Y203" s="3">
        <v>15294.22388</v>
      </c>
    </row>
    <row r="204" spans="17:25" x14ac:dyDescent="0.25">
      <c r="Q204" s="3" t="s">
        <v>396</v>
      </c>
      <c r="R204" s="3" t="s">
        <v>398</v>
      </c>
      <c r="S204" s="3" t="s">
        <v>400</v>
      </c>
      <c r="T204" s="3">
        <v>11400461.84</v>
      </c>
      <c r="U204" s="3">
        <v>889845</v>
      </c>
      <c r="V204" s="3">
        <v>12.81173894</v>
      </c>
      <c r="W204" s="3">
        <v>11637215.27</v>
      </c>
      <c r="X204" s="3">
        <v>907807</v>
      </c>
      <c r="Y204" s="3">
        <v>12.81904113</v>
      </c>
    </row>
    <row r="205" spans="17:25" x14ac:dyDescent="0.25">
      <c r="Q205" s="3" t="s">
        <v>397</v>
      </c>
      <c r="R205" s="3" t="s">
        <v>399</v>
      </c>
      <c r="S205" s="3" t="s">
        <v>401</v>
      </c>
      <c r="T205" s="3">
        <v>13060141.98</v>
      </c>
      <c r="U205" s="3">
        <v>663</v>
      </c>
      <c r="V205" s="3">
        <v>19698.55502</v>
      </c>
      <c r="W205" s="3">
        <v>11402564.529999999</v>
      </c>
      <c r="X205" s="3">
        <v>445</v>
      </c>
      <c r="Y205" s="3">
        <v>25623.740519999999</v>
      </c>
    </row>
    <row r="206" spans="17:25" x14ac:dyDescent="0.25">
      <c r="Q206" s="3" t="s">
        <v>1323</v>
      </c>
      <c r="R206" s="3" t="s">
        <v>1565</v>
      </c>
      <c r="S206" s="3" t="s">
        <v>1697</v>
      </c>
      <c r="T206" s="3"/>
      <c r="U206" s="3"/>
      <c r="V206" s="3"/>
      <c r="W206" s="3">
        <v>11340522.380000001</v>
      </c>
      <c r="X206" s="3">
        <v>531</v>
      </c>
      <c r="Y206" s="3">
        <v>21356.915969999998</v>
      </c>
    </row>
    <row r="207" spans="17:25" x14ac:dyDescent="0.25">
      <c r="Q207" s="3" t="s">
        <v>402</v>
      </c>
      <c r="R207" s="3" t="s">
        <v>404</v>
      </c>
      <c r="S207" s="3" t="s">
        <v>407</v>
      </c>
      <c r="T207" s="3">
        <v>12634497.93</v>
      </c>
      <c r="U207" s="3">
        <v>4299</v>
      </c>
      <c r="V207" s="3">
        <v>2938.938807</v>
      </c>
      <c r="W207" s="3">
        <v>11030313.26</v>
      </c>
      <c r="X207" s="3">
        <v>3291</v>
      </c>
      <c r="Y207" s="3">
        <v>3351.660061</v>
      </c>
    </row>
    <row r="208" spans="17:25" x14ac:dyDescent="0.25">
      <c r="Q208" s="3">
        <v>90747</v>
      </c>
      <c r="R208" s="3" t="s">
        <v>405</v>
      </c>
      <c r="S208" s="3" t="s">
        <v>408</v>
      </c>
      <c r="T208" s="3">
        <v>14836379.720000001</v>
      </c>
      <c r="U208" s="3">
        <v>54716</v>
      </c>
      <c r="V208" s="3">
        <v>271.15249139999997</v>
      </c>
      <c r="W208" s="3">
        <v>10899188.24</v>
      </c>
      <c r="X208" s="3">
        <v>36862</v>
      </c>
      <c r="Y208" s="3">
        <v>295.67544459999999</v>
      </c>
    </row>
    <row r="209" spans="17:25" x14ac:dyDescent="0.25">
      <c r="Q209" s="3" t="s">
        <v>403</v>
      </c>
      <c r="R209" s="3" t="s">
        <v>406</v>
      </c>
      <c r="S209" s="3" t="s">
        <v>409</v>
      </c>
      <c r="T209" s="3">
        <v>17378230.059999999</v>
      </c>
      <c r="U209" s="3">
        <v>465039</v>
      </c>
      <c r="V209" s="3">
        <v>37.369403560000002</v>
      </c>
      <c r="W209" s="3">
        <v>10756964.32</v>
      </c>
      <c r="X209" s="3">
        <v>241222</v>
      </c>
      <c r="Y209" s="3">
        <v>44.593628770000002</v>
      </c>
    </row>
    <row r="210" spans="17:25" x14ac:dyDescent="0.25">
      <c r="Q210" s="3" t="s">
        <v>1438</v>
      </c>
      <c r="R210" s="3" t="s">
        <v>1566</v>
      </c>
      <c r="S210" s="3" t="s">
        <v>1698</v>
      </c>
      <c r="T210" s="3"/>
      <c r="U210" s="3"/>
      <c r="V210" s="3"/>
      <c r="W210" s="3">
        <v>10731531.689999999</v>
      </c>
      <c r="X210" s="3">
        <v>35</v>
      </c>
      <c r="Y210" s="3">
        <v>306615.1911</v>
      </c>
    </row>
    <row r="211" spans="17:25" x14ac:dyDescent="0.25">
      <c r="Q211" s="3" t="s">
        <v>1439</v>
      </c>
      <c r="R211" s="3" t="s">
        <v>1567</v>
      </c>
      <c r="S211" s="3" t="s">
        <v>272</v>
      </c>
      <c r="T211" s="3"/>
      <c r="U211" s="3"/>
      <c r="V211" s="3"/>
      <c r="W211" s="3">
        <v>10718885.51</v>
      </c>
      <c r="X211" s="3">
        <v>23625</v>
      </c>
      <c r="Y211" s="3">
        <v>453.7094396</v>
      </c>
    </row>
    <row r="212" spans="17:25" x14ac:dyDescent="0.25">
      <c r="Q212" s="3" t="s">
        <v>410</v>
      </c>
      <c r="R212" s="3" t="s">
        <v>412</v>
      </c>
      <c r="S212" s="3" t="s">
        <v>414</v>
      </c>
      <c r="T212" s="3">
        <v>9155452.4600000009</v>
      </c>
      <c r="U212" s="3">
        <v>3189</v>
      </c>
      <c r="V212" s="3">
        <v>2870.9477769999999</v>
      </c>
      <c r="W212" s="3">
        <v>10407420.01</v>
      </c>
      <c r="X212" s="3">
        <v>2944</v>
      </c>
      <c r="Y212" s="3">
        <v>3535.1290800000002</v>
      </c>
    </row>
    <row r="213" spans="17:25" x14ac:dyDescent="0.25">
      <c r="Q213" s="3" t="s">
        <v>411</v>
      </c>
      <c r="R213" s="3" t="s">
        <v>413</v>
      </c>
      <c r="S213" s="3" t="s">
        <v>371</v>
      </c>
      <c r="T213" s="3">
        <v>13152735.5</v>
      </c>
      <c r="U213" s="3">
        <v>5459</v>
      </c>
      <c r="V213" s="3">
        <v>2409.3671920000002</v>
      </c>
      <c r="W213" s="3">
        <v>10328014.58</v>
      </c>
      <c r="X213" s="3">
        <v>4794</v>
      </c>
      <c r="Y213" s="3">
        <v>2154.362658</v>
      </c>
    </row>
    <row r="214" spans="17:25" x14ac:dyDescent="0.25">
      <c r="Q214" s="3" t="s">
        <v>1358</v>
      </c>
      <c r="R214" s="3" t="s">
        <v>1568</v>
      </c>
      <c r="S214" s="3" t="s">
        <v>1699</v>
      </c>
      <c r="T214" s="3"/>
      <c r="U214" s="3"/>
      <c r="V214" s="3"/>
      <c r="W214" s="3">
        <v>9946500.2200000007</v>
      </c>
      <c r="X214" s="3">
        <v>1175</v>
      </c>
      <c r="Y214" s="3">
        <v>8465.1065699999999</v>
      </c>
    </row>
    <row r="215" spans="17:25" x14ac:dyDescent="0.25">
      <c r="Q215" s="3" t="s">
        <v>415</v>
      </c>
      <c r="R215" s="3" t="s">
        <v>416</v>
      </c>
      <c r="S215" s="3" t="s">
        <v>417</v>
      </c>
      <c r="T215" s="3">
        <v>9046738.6199999992</v>
      </c>
      <c r="U215" s="3">
        <v>3138</v>
      </c>
      <c r="V215" s="3">
        <v>2882.9632310000002</v>
      </c>
      <c r="W215" s="3">
        <v>9797354.5700000003</v>
      </c>
      <c r="X215" s="3">
        <v>3006</v>
      </c>
      <c r="Y215" s="3">
        <v>3259.2663240000002</v>
      </c>
    </row>
    <row r="216" spans="17:25" x14ac:dyDescent="0.25">
      <c r="Q216" s="3" t="s">
        <v>1440</v>
      </c>
      <c r="R216" s="3" t="s">
        <v>1569</v>
      </c>
      <c r="S216" s="3" t="s">
        <v>1700</v>
      </c>
      <c r="T216" s="3"/>
      <c r="U216" s="3"/>
      <c r="V216" s="3"/>
      <c r="W216" s="3">
        <v>9742060.1600000001</v>
      </c>
      <c r="X216" s="3">
        <v>40</v>
      </c>
      <c r="Y216" s="3">
        <v>243551.50399999999</v>
      </c>
    </row>
    <row r="217" spans="17:25" x14ac:dyDescent="0.25">
      <c r="Q217" s="3" t="s">
        <v>418</v>
      </c>
      <c r="R217" s="3" t="s">
        <v>421</v>
      </c>
      <c r="S217" s="3" t="s">
        <v>424</v>
      </c>
      <c r="T217" s="3">
        <v>9063903</v>
      </c>
      <c r="U217" s="3">
        <v>22</v>
      </c>
      <c r="V217" s="3">
        <v>411995.59090000001</v>
      </c>
      <c r="W217" s="3">
        <v>9594245.4000000004</v>
      </c>
      <c r="X217" s="3">
        <v>26</v>
      </c>
      <c r="Y217" s="3">
        <v>369009.43849999999</v>
      </c>
    </row>
    <row r="218" spans="17:25" x14ac:dyDescent="0.25">
      <c r="Q218" s="3" t="s">
        <v>419</v>
      </c>
      <c r="R218" s="3" t="s">
        <v>422</v>
      </c>
      <c r="S218" s="3" t="s">
        <v>425</v>
      </c>
      <c r="T218" s="3">
        <v>12438764.380000001</v>
      </c>
      <c r="U218" s="3">
        <v>1119</v>
      </c>
      <c r="V218" s="3">
        <v>11115.96459</v>
      </c>
      <c r="W218" s="3">
        <v>9494399.9000000004</v>
      </c>
      <c r="X218" s="3">
        <v>835</v>
      </c>
      <c r="Y218" s="3">
        <v>11370.5388</v>
      </c>
    </row>
    <row r="219" spans="17:25" x14ac:dyDescent="0.25">
      <c r="Q219" s="3" t="s">
        <v>420</v>
      </c>
      <c r="R219" s="3" t="s">
        <v>423</v>
      </c>
      <c r="S219" s="3" t="s">
        <v>426</v>
      </c>
      <c r="T219" s="3">
        <v>9270719.6400000006</v>
      </c>
      <c r="U219" s="3">
        <v>321</v>
      </c>
      <c r="V219" s="3">
        <v>28880.74654</v>
      </c>
      <c r="W219" s="3">
        <v>9056752.8800000008</v>
      </c>
      <c r="X219" s="3">
        <v>308</v>
      </c>
      <c r="Y219" s="3">
        <v>29405.041819999999</v>
      </c>
    </row>
    <row r="220" spans="17:25" x14ac:dyDescent="0.25">
      <c r="Q220" s="3">
        <v>90756</v>
      </c>
      <c r="R220" s="3" t="s">
        <v>1570</v>
      </c>
      <c r="S220" s="3" t="s">
        <v>1701</v>
      </c>
      <c r="T220" s="3">
        <v>13413682.869999999</v>
      </c>
      <c r="U220" s="3">
        <v>598837</v>
      </c>
      <c r="V220" s="3">
        <v>22.399555920000001</v>
      </c>
      <c r="W220" s="3">
        <v>9055138.1099999994</v>
      </c>
      <c r="X220" s="3">
        <v>286298</v>
      </c>
      <c r="Y220" s="3">
        <v>31.628366629999999</v>
      </c>
    </row>
    <row r="221" spans="17:25" x14ac:dyDescent="0.25">
      <c r="Q221" s="3" t="s">
        <v>427</v>
      </c>
      <c r="R221" s="3" t="s">
        <v>431</v>
      </c>
      <c r="S221" s="3" t="s">
        <v>271</v>
      </c>
      <c r="T221" s="3">
        <v>13055249.16</v>
      </c>
      <c r="U221" s="3">
        <v>28</v>
      </c>
      <c r="V221" s="3">
        <v>466258.89860000001</v>
      </c>
      <c r="W221" s="3">
        <v>9054511.25</v>
      </c>
      <c r="X221" s="3">
        <v>20</v>
      </c>
      <c r="Y221" s="3">
        <v>452725.5625</v>
      </c>
    </row>
    <row r="222" spans="17:25" x14ac:dyDescent="0.25">
      <c r="Q222" s="3" t="s">
        <v>428</v>
      </c>
      <c r="R222" s="3" t="s">
        <v>432</v>
      </c>
      <c r="S222" s="3" t="s">
        <v>435</v>
      </c>
      <c r="T222" s="3">
        <v>13053892.109999999</v>
      </c>
      <c r="U222" s="3">
        <v>66</v>
      </c>
      <c r="V222" s="3">
        <v>197786.24410000001</v>
      </c>
      <c r="W222" s="3">
        <v>9049780.0800000001</v>
      </c>
      <c r="X222" s="3">
        <v>65</v>
      </c>
      <c r="Y222" s="3">
        <v>139227.38589999999</v>
      </c>
    </row>
    <row r="223" spans="17:25" x14ac:dyDescent="0.25">
      <c r="Q223" s="3" t="s">
        <v>429</v>
      </c>
      <c r="R223" s="3" t="s">
        <v>433</v>
      </c>
      <c r="S223" s="3" t="s">
        <v>436</v>
      </c>
      <c r="T223" s="3">
        <v>10162126.68</v>
      </c>
      <c r="U223" s="3">
        <v>34253</v>
      </c>
      <c r="V223" s="3">
        <v>296.67844220000001</v>
      </c>
      <c r="W223" s="3">
        <v>8867928.1899999995</v>
      </c>
      <c r="X223" s="3">
        <v>24913</v>
      </c>
      <c r="Y223" s="3">
        <v>355.95585399999999</v>
      </c>
    </row>
    <row r="224" spans="17:25" x14ac:dyDescent="0.25">
      <c r="Q224" s="3" t="s">
        <v>430</v>
      </c>
      <c r="R224" s="3" t="s">
        <v>434</v>
      </c>
      <c r="S224" s="3" t="s">
        <v>437</v>
      </c>
      <c r="T224" s="3">
        <v>17531150.760000002</v>
      </c>
      <c r="U224" s="3">
        <v>101</v>
      </c>
      <c r="V224" s="3">
        <v>173575.7501</v>
      </c>
      <c r="W224" s="3">
        <v>8709123.8200000003</v>
      </c>
      <c r="X224" s="3">
        <v>42</v>
      </c>
      <c r="Y224" s="3">
        <v>207360.09099999999</v>
      </c>
    </row>
    <row r="225" spans="17:25" x14ac:dyDescent="0.25">
      <c r="Q225" s="3" t="s">
        <v>1441</v>
      </c>
      <c r="R225" s="3" t="s">
        <v>1571</v>
      </c>
      <c r="S225" s="3" t="s">
        <v>1702</v>
      </c>
      <c r="T225" s="3"/>
      <c r="U225" s="3"/>
      <c r="V225" s="3"/>
      <c r="W225" s="3">
        <v>8308639.8700000001</v>
      </c>
      <c r="X225" s="3">
        <v>76</v>
      </c>
      <c r="Y225" s="3">
        <v>109324.20879999999</v>
      </c>
    </row>
    <row r="226" spans="17:25" x14ac:dyDescent="0.25">
      <c r="Q226" s="3" t="s">
        <v>438</v>
      </c>
      <c r="R226" s="3" t="s">
        <v>439</v>
      </c>
      <c r="S226" s="3" t="s">
        <v>440</v>
      </c>
      <c r="T226" s="3">
        <v>10362037.720000001</v>
      </c>
      <c r="U226" s="3">
        <v>46466</v>
      </c>
      <c r="V226" s="3">
        <v>223.0025765</v>
      </c>
      <c r="W226" s="3">
        <v>8005094.8399999999</v>
      </c>
      <c r="X226" s="3">
        <v>39386</v>
      </c>
      <c r="Y226" s="3">
        <v>203.24721579999999</v>
      </c>
    </row>
    <row r="227" spans="17:25" x14ac:dyDescent="0.25">
      <c r="Q227" s="3" t="s">
        <v>1442</v>
      </c>
      <c r="R227" s="3" t="s">
        <v>1572</v>
      </c>
      <c r="S227" s="3" t="s">
        <v>1703</v>
      </c>
      <c r="T227" s="3"/>
      <c r="U227" s="3"/>
      <c r="V227" s="3"/>
      <c r="W227" s="3">
        <v>7940905.4900000002</v>
      </c>
      <c r="X227" s="3">
        <v>12</v>
      </c>
      <c r="Y227" s="3">
        <v>661742.12419999996</v>
      </c>
    </row>
    <row r="228" spans="17:25" x14ac:dyDescent="0.25">
      <c r="Q228" s="3" t="s">
        <v>441</v>
      </c>
      <c r="R228" s="3" t="s">
        <v>442</v>
      </c>
      <c r="S228" s="3" t="s">
        <v>444</v>
      </c>
      <c r="T228" s="3">
        <v>12435252.52</v>
      </c>
      <c r="U228" s="3">
        <v>520928</v>
      </c>
      <c r="V228" s="3">
        <v>23.871345980000001</v>
      </c>
      <c r="W228" s="3">
        <v>7818406.8200000003</v>
      </c>
      <c r="X228" s="3">
        <v>285888</v>
      </c>
      <c r="Y228" s="3">
        <v>27.347796410000001</v>
      </c>
    </row>
    <row r="229" spans="17:25" x14ac:dyDescent="0.25">
      <c r="Q229" s="3">
        <v>90375</v>
      </c>
      <c r="R229" s="3" t="s">
        <v>443</v>
      </c>
      <c r="S229" s="3" t="s">
        <v>445</v>
      </c>
      <c r="T229" s="3">
        <v>7722116.1900000004</v>
      </c>
      <c r="U229" s="3">
        <v>3070</v>
      </c>
      <c r="V229" s="3">
        <v>2515.3472929999998</v>
      </c>
      <c r="W229" s="3">
        <v>7771016.3499999996</v>
      </c>
      <c r="X229" s="3">
        <v>2868</v>
      </c>
      <c r="Y229" s="3">
        <v>2709.559397</v>
      </c>
    </row>
    <row r="230" spans="17:25" x14ac:dyDescent="0.25">
      <c r="Q230" s="3" t="s">
        <v>1443</v>
      </c>
      <c r="R230" s="3" t="s">
        <v>1573</v>
      </c>
      <c r="S230" s="3" t="s">
        <v>1704</v>
      </c>
      <c r="T230" s="3"/>
      <c r="U230" s="3"/>
      <c r="V230" s="3"/>
      <c r="W230" s="3">
        <v>7755186.1900000004</v>
      </c>
      <c r="X230" s="3">
        <v>19</v>
      </c>
      <c r="Y230" s="3">
        <v>408167.69420000003</v>
      </c>
    </row>
    <row r="231" spans="17:25" x14ac:dyDescent="0.25">
      <c r="Q231" s="3" t="s">
        <v>1319</v>
      </c>
      <c r="R231" s="3" t="s">
        <v>1574</v>
      </c>
      <c r="S231" s="3" t="s">
        <v>1705</v>
      </c>
      <c r="T231" s="3"/>
      <c r="U231" s="3"/>
      <c r="V231" s="3"/>
      <c r="W231" s="3">
        <v>7706641.6799999997</v>
      </c>
      <c r="X231" s="3">
        <v>329</v>
      </c>
      <c r="Y231" s="3">
        <v>23424.442800000001</v>
      </c>
    </row>
    <row r="232" spans="17:25" x14ac:dyDescent="0.25">
      <c r="Q232" s="3" t="s">
        <v>446</v>
      </c>
      <c r="R232" s="3" t="s">
        <v>451</v>
      </c>
      <c r="S232" s="3" t="s">
        <v>457</v>
      </c>
      <c r="T232" s="3">
        <v>10538654.800000001</v>
      </c>
      <c r="U232" s="3">
        <v>123</v>
      </c>
      <c r="V232" s="3">
        <v>85680.120330000005</v>
      </c>
      <c r="W232" s="3">
        <v>7638373.1799999997</v>
      </c>
      <c r="X232" s="3">
        <v>58</v>
      </c>
      <c r="Y232" s="3">
        <v>131696.08929999999</v>
      </c>
    </row>
    <row r="233" spans="17:25" x14ac:dyDescent="0.25">
      <c r="Q233" s="3" t="s">
        <v>447</v>
      </c>
      <c r="R233" s="3" t="s">
        <v>452</v>
      </c>
      <c r="S233" s="3" t="s">
        <v>458</v>
      </c>
      <c r="T233" s="3">
        <v>8041996.9100000001</v>
      </c>
      <c r="U233" s="3">
        <v>4262</v>
      </c>
      <c r="V233" s="3">
        <v>1886.9068299999999</v>
      </c>
      <c r="W233" s="3">
        <v>7593699.25</v>
      </c>
      <c r="X233" s="3">
        <v>3945</v>
      </c>
      <c r="Y233" s="3">
        <v>1924.892079</v>
      </c>
    </row>
    <row r="234" spans="17:25" x14ac:dyDescent="0.25">
      <c r="Q234" s="3" t="s">
        <v>448</v>
      </c>
      <c r="R234" s="3" t="s">
        <v>453</v>
      </c>
      <c r="S234" s="3" t="s">
        <v>459</v>
      </c>
      <c r="T234" s="3">
        <v>6863050.5999999996</v>
      </c>
      <c r="U234" s="3">
        <v>1433</v>
      </c>
      <c r="V234" s="3">
        <v>4789.2886250000001</v>
      </c>
      <c r="W234" s="3">
        <v>7358267.1399999997</v>
      </c>
      <c r="X234" s="3">
        <v>1299</v>
      </c>
      <c r="Y234" s="3">
        <v>5664.5628479999996</v>
      </c>
    </row>
    <row r="235" spans="17:25" x14ac:dyDescent="0.25">
      <c r="Q235" s="3" t="s">
        <v>449</v>
      </c>
      <c r="R235" s="3" t="s">
        <v>454</v>
      </c>
      <c r="S235" s="3" t="s">
        <v>460</v>
      </c>
      <c r="T235" s="3">
        <v>4016260.99</v>
      </c>
      <c r="U235" s="3">
        <v>14487</v>
      </c>
      <c r="V235" s="3">
        <v>277.2320694</v>
      </c>
      <c r="W235" s="3">
        <v>7317113.7599999998</v>
      </c>
      <c r="X235" s="3">
        <v>19261</v>
      </c>
      <c r="Y235" s="3">
        <v>379.89272419999998</v>
      </c>
    </row>
    <row r="236" spans="17:25" x14ac:dyDescent="0.25">
      <c r="Q236" s="3">
        <v>90688</v>
      </c>
      <c r="R236" s="3" t="s">
        <v>455</v>
      </c>
      <c r="S236" s="3" t="s">
        <v>461</v>
      </c>
      <c r="T236" s="3">
        <v>13938736.74</v>
      </c>
      <c r="U236" s="3">
        <v>771186</v>
      </c>
      <c r="V236" s="3">
        <v>18.074416209999999</v>
      </c>
      <c r="W236" s="3">
        <v>7178617.0499999998</v>
      </c>
      <c r="X236" s="3">
        <v>336879</v>
      </c>
      <c r="Y236" s="3">
        <v>21.30918535</v>
      </c>
    </row>
    <row r="237" spans="17:25" x14ac:dyDescent="0.25">
      <c r="Q237" s="3" t="s">
        <v>450</v>
      </c>
      <c r="R237" s="3" t="s">
        <v>456</v>
      </c>
      <c r="S237" s="3" t="s">
        <v>462</v>
      </c>
      <c r="T237" s="3">
        <v>135249837.09999999</v>
      </c>
      <c r="U237" s="3">
        <v>135348</v>
      </c>
      <c r="V237" s="3">
        <v>999.27473699999996</v>
      </c>
      <c r="W237" s="3">
        <v>7130973.1600000001</v>
      </c>
      <c r="X237" s="3">
        <v>56209</v>
      </c>
      <c r="Y237" s="3">
        <v>126.8653269</v>
      </c>
    </row>
    <row r="238" spans="17:25" x14ac:dyDescent="0.25">
      <c r="Q238" s="3" t="s">
        <v>1444</v>
      </c>
      <c r="R238" s="3" t="s">
        <v>1575</v>
      </c>
      <c r="S238" s="3" t="s">
        <v>1706</v>
      </c>
      <c r="T238" s="3"/>
      <c r="U238" s="3"/>
      <c r="V238" s="3"/>
      <c r="W238" s="3">
        <v>6898741.6100000003</v>
      </c>
      <c r="X238" s="3"/>
      <c r="Y238" s="3"/>
    </row>
    <row r="239" spans="17:25" x14ac:dyDescent="0.25">
      <c r="Q239" s="3" t="s">
        <v>463</v>
      </c>
      <c r="R239" s="3" t="s">
        <v>466</v>
      </c>
      <c r="S239" s="3" t="s">
        <v>470</v>
      </c>
      <c r="T239" s="3">
        <v>372816.78</v>
      </c>
      <c r="U239" s="3">
        <v>3938</v>
      </c>
      <c r="V239" s="3">
        <v>94.671604880000004</v>
      </c>
      <c r="W239" s="3">
        <v>6881525.2000000002</v>
      </c>
      <c r="X239" s="3">
        <v>13281</v>
      </c>
      <c r="Y239" s="3">
        <v>518.14812140000004</v>
      </c>
    </row>
    <row r="240" spans="17:25" x14ac:dyDescent="0.25">
      <c r="Q240" s="3" t="s">
        <v>464</v>
      </c>
      <c r="R240" s="3" t="s">
        <v>467</v>
      </c>
      <c r="S240" s="3" t="s">
        <v>471</v>
      </c>
      <c r="T240" s="3">
        <v>6294985.6299999999</v>
      </c>
      <c r="U240" s="3">
        <v>191574</v>
      </c>
      <c r="V240" s="3">
        <v>32.859290039999998</v>
      </c>
      <c r="W240" s="3">
        <v>6792125.1399999997</v>
      </c>
      <c r="X240" s="3">
        <v>203483</v>
      </c>
      <c r="Y240" s="3">
        <v>33.379324760000003</v>
      </c>
    </row>
    <row r="241" spans="17:25" x14ac:dyDescent="0.25">
      <c r="Q241" s="3">
        <v>90739</v>
      </c>
      <c r="R241" s="3" t="s">
        <v>468</v>
      </c>
      <c r="S241" s="3" t="s">
        <v>472</v>
      </c>
      <c r="T241" s="3">
        <v>91688.24</v>
      </c>
      <c r="U241" s="3">
        <v>589</v>
      </c>
      <c r="V241" s="3">
        <v>155.6676401</v>
      </c>
      <c r="W241" s="3">
        <v>6630528.6900000004</v>
      </c>
      <c r="X241" s="3">
        <v>25134</v>
      </c>
      <c r="Y241" s="3">
        <v>263.80714130000001</v>
      </c>
    </row>
    <row r="242" spans="17:25" x14ac:dyDescent="0.25">
      <c r="Q242" s="3" t="s">
        <v>465</v>
      </c>
      <c r="R242" s="3" t="s">
        <v>469</v>
      </c>
      <c r="S242" s="3" t="s">
        <v>117</v>
      </c>
      <c r="T242" s="3">
        <v>5031107.49</v>
      </c>
      <c r="U242" s="3">
        <v>1068</v>
      </c>
      <c r="V242" s="3">
        <v>4710.7748030000002</v>
      </c>
      <c r="W242" s="3">
        <v>6456998.9400000004</v>
      </c>
      <c r="X242" s="3">
        <v>922</v>
      </c>
      <c r="Y242" s="3">
        <v>7003.2526459999999</v>
      </c>
    </row>
    <row r="243" spans="17:25" x14ac:dyDescent="0.25">
      <c r="Q243" s="3" t="s">
        <v>1445</v>
      </c>
      <c r="R243" s="3" t="s">
        <v>1576</v>
      </c>
      <c r="S243" s="3" t="s">
        <v>1707</v>
      </c>
      <c r="T243" s="3"/>
      <c r="U243" s="3"/>
      <c r="V243" s="3"/>
      <c r="W243" s="3">
        <v>6417223.04</v>
      </c>
      <c r="X243" s="3">
        <v>190</v>
      </c>
      <c r="Y243" s="3">
        <v>33774.858110000001</v>
      </c>
    </row>
    <row r="244" spans="17:25" x14ac:dyDescent="0.25">
      <c r="Q244" s="3">
        <v>90740</v>
      </c>
      <c r="R244" s="3" t="s">
        <v>473</v>
      </c>
      <c r="S244" s="3" t="s">
        <v>408</v>
      </c>
      <c r="T244" s="3">
        <v>15910275.310000001</v>
      </c>
      <c r="U244" s="3">
        <v>52907</v>
      </c>
      <c r="V244" s="3">
        <v>300.72155500000002</v>
      </c>
      <c r="W244" s="3">
        <v>6393447.8799999999</v>
      </c>
      <c r="X244" s="3">
        <v>25134</v>
      </c>
      <c r="Y244" s="3">
        <v>254.3744681</v>
      </c>
    </row>
    <row r="245" spans="17:25" x14ac:dyDescent="0.25">
      <c r="Q245" s="3" t="s">
        <v>1446</v>
      </c>
      <c r="R245" s="3" t="s">
        <v>1577</v>
      </c>
      <c r="S245" s="3" t="s">
        <v>425</v>
      </c>
      <c r="T245" s="3"/>
      <c r="U245" s="3"/>
      <c r="V245" s="3"/>
      <c r="W245" s="3">
        <v>6285301.0599999996</v>
      </c>
      <c r="X245" s="3">
        <v>585</v>
      </c>
      <c r="Y245" s="3">
        <v>10744.104380000001</v>
      </c>
    </row>
    <row r="246" spans="17:25" x14ac:dyDescent="0.25">
      <c r="Q246" s="3" t="s">
        <v>474</v>
      </c>
      <c r="R246" s="3" t="s">
        <v>476</v>
      </c>
      <c r="S246" s="3" t="s">
        <v>478</v>
      </c>
      <c r="T246" s="3">
        <v>3692744.47</v>
      </c>
      <c r="U246" s="3">
        <v>122078</v>
      </c>
      <c r="V246" s="3">
        <v>30.249057730000001</v>
      </c>
      <c r="W246" s="3">
        <v>6103025.8399999999</v>
      </c>
      <c r="X246" s="3">
        <v>230542</v>
      </c>
      <c r="Y246" s="3">
        <v>26.472511910000001</v>
      </c>
    </row>
    <row r="247" spans="17:25" x14ac:dyDescent="0.25">
      <c r="Q247" s="3" t="s">
        <v>475</v>
      </c>
      <c r="R247" s="3" t="s">
        <v>477</v>
      </c>
      <c r="S247" s="3" t="s">
        <v>479</v>
      </c>
      <c r="T247" s="3">
        <v>8238577.9699999997</v>
      </c>
      <c r="U247" s="3">
        <v>74364</v>
      </c>
      <c r="V247" s="3">
        <v>110.7871816</v>
      </c>
      <c r="W247" s="3">
        <v>6038888.5099999998</v>
      </c>
      <c r="X247" s="3">
        <v>78122</v>
      </c>
      <c r="Y247" s="3">
        <v>77.300741279999997</v>
      </c>
    </row>
    <row r="248" spans="17:25" x14ac:dyDescent="0.25">
      <c r="Q248" s="3" t="s">
        <v>1447</v>
      </c>
      <c r="R248" s="3" t="s">
        <v>1578</v>
      </c>
      <c r="S248" s="3" t="s">
        <v>1708</v>
      </c>
      <c r="T248" s="3"/>
      <c r="U248" s="3"/>
      <c r="V248" s="3"/>
      <c r="W248" s="3">
        <v>5805132.7999999998</v>
      </c>
      <c r="X248" s="3">
        <v>29</v>
      </c>
      <c r="Y248" s="3">
        <v>200176.99309999999</v>
      </c>
    </row>
    <row r="249" spans="17:25" x14ac:dyDescent="0.25">
      <c r="Q249" s="3" t="s">
        <v>480</v>
      </c>
      <c r="R249" s="3" t="s">
        <v>484</v>
      </c>
      <c r="S249" s="3"/>
      <c r="T249" s="3">
        <v>2909765.03</v>
      </c>
      <c r="U249" s="3">
        <v>402</v>
      </c>
      <c r="V249" s="3">
        <v>7238.2214679999997</v>
      </c>
      <c r="W249" s="3">
        <v>5781729.7999999998</v>
      </c>
      <c r="X249" s="3">
        <v>869</v>
      </c>
      <c r="Y249" s="3">
        <v>6653.313924</v>
      </c>
    </row>
    <row r="250" spans="17:25" x14ac:dyDescent="0.25">
      <c r="Q250" s="3" t="s">
        <v>481</v>
      </c>
      <c r="R250" s="3" t="s">
        <v>485</v>
      </c>
      <c r="S250" s="3" t="s">
        <v>488</v>
      </c>
      <c r="T250" s="3">
        <v>8038054.2300000004</v>
      </c>
      <c r="U250" s="3">
        <v>8850</v>
      </c>
      <c r="V250" s="3">
        <v>908.25471530000004</v>
      </c>
      <c r="W250" s="3">
        <v>5765102.75</v>
      </c>
      <c r="X250" s="3">
        <v>6995</v>
      </c>
      <c r="Y250" s="3">
        <v>824.17480339999997</v>
      </c>
    </row>
    <row r="251" spans="17:25" x14ac:dyDescent="0.25">
      <c r="Q251" s="3" t="s">
        <v>482</v>
      </c>
      <c r="R251" s="3" t="s">
        <v>486</v>
      </c>
      <c r="S251" s="3" t="s">
        <v>489</v>
      </c>
      <c r="T251" s="3">
        <v>36353455.030000001</v>
      </c>
      <c r="U251" s="3">
        <v>523</v>
      </c>
      <c r="V251" s="3">
        <v>69509.474249999999</v>
      </c>
      <c r="W251" s="3">
        <v>5626185.5499999998</v>
      </c>
      <c r="X251" s="3">
        <v>89</v>
      </c>
      <c r="Y251" s="3">
        <v>63215.56798</v>
      </c>
    </row>
    <row r="252" spans="17:25" x14ac:dyDescent="0.25">
      <c r="Q252" s="3" t="s">
        <v>483</v>
      </c>
      <c r="R252" s="3" t="s">
        <v>487</v>
      </c>
      <c r="S252" s="3" t="s">
        <v>490</v>
      </c>
      <c r="T252" s="3">
        <v>4667590.1399999997</v>
      </c>
      <c r="U252" s="3">
        <v>52</v>
      </c>
      <c r="V252" s="3">
        <v>89761.348849999995</v>
      </c>
      <c r="W252" s="3">
        <v>5459426.1299999999</v>
      </c>
      <c r="X252" s="3">
        <v>44</v>
      </c>
      <c r="Y252" s="3">
        <v>124077.86659999999</v>
      </c>
    </row>
    <row r="253" spans="17:25" x14ac:dyDescent="0.25">
      <c r="Q253" s="3" t="s">
        <v>1448</v>
      </c>
      <c r="R253" s="3" t="s">
        <v>1579</v>
      </c>
      <c r="S253" s="3" t="s">
        <v>1709</v>
      </c>
      <c r="T253" s="3"/>
      <c r="U253" s="3"/>
      <c r="V253" s="3"/>
      <c r="W253" s="3">
        <v>5444632.5599999996</v>
      </c>
      <c r="X253" s="3">
        <v>128</v>
      </c>
      <c r="Y253" s="3">
        <v>42536.191879999998</v>
      </c>
    </row>
    <row r="254" spans="17:25" x14ac:dyDescent="0.25">
      <c r="Q254" s="3" t="s">
        <v>1449</v>
      </c>
      <c r="R254" s="3" t="s">
        <v>1580</v>
      </c>
      <c r="S254" s="3" t="s">
        <v>1710</v>
      </c>
      <c r="T254" s="3"/>
      <c r="U254" s="3"/>
      <c r="V254" s="3"/>
      <c r="W254" s="3">
        <v>5296339</v>
      </c>
      <c r="X254" s="3">
        <v>24</v>
      </c>
      <c r="Y254" s="3">
        <v>220680.7917</v>
      </c>
    </row>
    <row r="255" spans="17:25" x14ac:dyDescent="0.25">
      <c r="Q255" s="3" t="s">
        <v>491</v>
      </c>
      <c r="R255" s="3" t="s">
        <v>494</v>
      </c>
      <c r="S255" s="3" t="s">
        <v>497</v>
      </c>
      <c r="T255" s="3">
        <v>9533314.3100000005</v>
      </c>
      <c r="U255" s="3">
        <v>1316</v>
      </c>
      <c r="V255" s="3">
        <v>7244.1598100000001</v>
      </c>
      <c r="W255" s="3">
        <v>5068196.84</v>
      </c>
      <c r="X255" s="3">
        <v>653</v>
      </c>
      <c r="Y255" s="3">
        <v>7761.4040429999995</v>
      </c>
    </row>
    <row r="256" spans="17:25" x14ac:dyDescent="0.25">
      <c r="Q256" s="3" t="s">
        <v>492</v>
      </c>
      <c r="R256" s="3" t="s">
        <v>495</v>
      </c>
      <c r="S256" s="3" t="s">
        <v>498</v>
      </c>
      <c r="T256" s="3">
        <v>4799308.59</v>
      </c>
      <c r="U256" s="3">
        <v>2844</v>
      </c>
      <c r="V256" s="3">
        <v>1687.5206009999999</v>
      </c>
      <c r="W256" s="3">
        <v>5011122.4000000004</v>
      </c>
      <c r="X256" s="3">
        <v>2153</v>
      </c>
      <c r="Y256" s="3">
        <v>2327.5069210000001</v>
      </c>
    </row>
    <row r="257" spans="17:25" x14ac:dyDescent="0.25">
      <c r="Q257" s="3" t="s">
        <v>493</v>
      </c>
      <c r="R257" s="3" t="s">
        <v>496</v>
      </c>
      <c r="S257" s="3" t="s">
        <v>499</v>
      </c>
      <c r="T257" s="3">
        <v>12382730.65</v>
      </c>
      <c r="U257" s="3">
        <v>8373</v>
      </c>
      <c r="V257" s="3">
        <v>1478.8881699999999</v>
      </c>
      <c r="W257" s="3">
        <v>4997448.21</v>
      </c>
      <c r="X257" s="3">
        <v>4955</v>
      </c>
      <c r="Y257" s="3">
        <v>1008.566743</v>
      </c>
    </row>
    <row r="258" spans="17:25" x14ac:dyDescent="0.25">
      <c r="Q258" s="3" t="s">
        <v>1450</v>
      </c>
      <c r="R258" s="3" t="s">
        <v>1581</v>
      </c>
      <c r="S258" s="3" t="s">
        <v>1711</v>
      </c>
      <c r="T258" s="3"/>
      <c r="U258" s="3"/>
      <c r="V258" s="3"/>
      <c r="W258" s="3">
        <v>4937131.55</v>
      </c>
      <c r="X258" s="3">
        <v>19</v>
      </c>
      <c r="Y258" s="3">
        <v>259849.02900000001</v>
      </c>
    </row>
    <row r="259" spans="17:25" x14ac:dyDescent="0.25">
      <c r="Q259" s="3" t="s">
        <v>500</v>
      </c>
      <c r="R259" s="3" t="s">
        <v>501</v>
      </c>
      <c r="S259" s="3" t="s">
        <v>280</v>
      </c>
      <c r="T259" s="3">
        <v>6332162.3499999996</v>
      </c>
      <c r="U259" s="3">
        <v>63</v>
      </c>
      <c r="V259" s="3">
        <v>100510.5135</v>
      </c>
      <c r="W259" s="3">
        <v>4931144.2699999996</v>
      </c>
      <c r="X259" s="3">
        <v>42</v>
      </c>
      <c r="Y259" s="3">
        <v>117408.1969</v>
      </c>
    </row>
    <row r="260" spans="17:25" x14ac:dyDescent="0.25">
      <c r="Q260" s="3" t="s">
        <v>1345</v>
      </c>
      <c r="R260" s="3" t="s">
        <v>1582</v>
      </c>
      <c r="S260" s="3" t="s">
        <v>1712</v>
      </c>
      <c r="T260" s="3"/>
      <c r="U260" s="3"/>
      <c r="V260" s="3"/>
      <c r="W260" s="3">
        <v>4915196.03</v>
      </c>
      <c r="X260" s="3">
        <v>3741</v>
      </c>
      <c r="Y260" s="3">
        <v>1313.872235</v>
      </c>
    </row>
    <row r="261" spans="17:25" x14ac:dyDescent="0.25">
      <c r="Q261" s="3" t="s">
        <v>502</v>
      </c>
      <c r="R261" s="3" t="s">
        <v>517</v>
      </c>
      <c r="S261" s="3" t="s">
        <v>517</v>
      </c>
      <c r="T261" s="3">
        <v>8463932.5800000001</v>
      </c>
      <c r="U261" s="3">
        <v>370</v>
      </c>
      <c r="V261" s="3">
        <v>22875.493460000002</v>
      </c>
      <c r="W261" s="3">
        <v>4799901.4800000004</v>
      </c>
      <c r="X261" s="3">
        <v>178</v>
      </c>
      <c r="Y261" s="3">
        <v>26965.738649999999</v>
      </c>
    </row>
    <row r="262" spans="17:25" x14ac:dyDescent="0.25">
      <c r="Q262" s="3" t="s">
        <v>503</v>
      </c>
      <c r="R262" s="3" t="s">
        <v>518</v>
      </c>
      <c r="S262" s="3" t="s">
        <v>518</v>
      </c>
      <c r="T262" s="3">
        <v>4197713.7</v>
      </c>
      <c r="U262" s="3">
        <v>14255</v>
      </c>
      <c r="V262" s="3">
        <v>294.47307610000001</v>
      </c>
      <c r="W262" s="3">
        <v>4782978.34</v>
      </c>
      <c r="X262" s="3">
        <v>14806</v>
      </c>
      <c r="Y262" s="3">
        <v>323.04324869999999</v>
      </c>
    </row>
    <row r="263" spans="17:25" x14ac:dyDescent="0.25">
      <c r="Q263" s="3" t="s">
        <v>504</v>
      </c>
      <c r="R263" s="3" t="s">
        <v>519</v>
      </c>
      <c r="S263" s="3" t="s">
        <v>532</v>
      </c>
      <c r="T263" s="3">
        <v>53358295.689999998</v>
      </c>
      <c r="U263" s="3">
        <v>14416</v>
      </c>
      <c r="V263" s="3">
        <v>3701.3246180000001</v>
      </c>
      <c r="W263" s="3">
        <v>4715715.55</v>
      </c>
      <c r="X263" s="3">
        <v>4630</v>
      </c>
      <c r="Y263" s="3">
        <v>1018.513078</v>
      </c>
    </row>
    <row r="264" spans="17:25" x14ac:dyDescent="0.25">
      <c r="Q264" s="3" t="s">
        <v>505</v>
      </c>
      <c r="R264" s="3" t="s">
        <v>520</v>
      </c>
      <c r="S264" s="3" t="s">
        <v>520</v>
      </c>
      <c r="T264" s="3">
        <v>12633369.890000001</v>
      </c>
      <c r="U264" s="3">
        <v>6419</v>
      </c>
      <c r="V264" s="3">
        <v>1968.1211860000001</v>
      </c>
      <c r="W264" s="3">
        <v>4653362.8899999997</v>
      </c>
      <c r="X264" s="3">
        <v>6279</v>
      </c>
      <c r="Y264" s="3">
        <v>741.09936140000002</v>
      </c>
    </row>
    <row r="265" spans="17:25" x14ac:dyDescent="0.25">
      <c r="Q265" s="3" t="s">
        <v>506</v>
      </c>
      <c r="R265" s="3" t="s">
        <v>521</v>
      </c>
      <c r="S265" s="3" t="s">
        <v>533</v>
      </c>
      <c r="T265" s="3">
        <v>42289694.07</v>
      </c>
      <c r="U265" s="3">
        <v>2581</v>
      </c>
      <c r="V265" s="3">
        <v>16385.003509999999</v>
      </c>
      <c r="W265" s="3">
        <v>4622934.16</v>
      </c>
      <c r="X265" s="3">
        <v>354</v>
      </c>
      <c r="Y265" s="3">
        <v>13059.136049999999</v>
      </c>
    </row>
    <row r="266" spans="17:25" x14ac:dyDescent="0.25">
      <c r="Q266" s="3" t="s">
        <v>507</v>
      </c>
      <c r="R266" s="3" t="s">
        <v>522</v>
      </c>
      <c r="S266" s="3" t="s">
        <v>534</v>
      </c>
      <c r="T266" s="3">
        <v>5878094.9699999997</v>
      </c>
      <c r="U266" s="3">
        <v>700</v>
      </c>
      <c r="V266" s="3">
        <v>8397.2785289999993</v>
      </c>
      <c r="W266" s="3">
        <v>4488249.58</v>
      </c>
      <c r="X266" s="3">
        <v>422</v>
      </c>
      <c r="Y266" s="3">
        <v>10635.66251</v>
      </c>
    </row>
    <row r="267" spans="17:25" x14ac:dyDescent="0.25">
      <c r="Q267" s="3" t="s">
        <v>508</v>
      </c>
      <c r="R267" s="3" t="s">
        <v>523</v>
      </c>
      <c r="S267" s="3" t="s">
        <v>535</v>
      </c>
      <c r="T267" s="3">
        <v>5365703.8499999996</v>
      </c>
      <c r="U267" s="3">
        <v>21</v>
      </c>
      <c r="V267" s="3">
        <v>255509.7071</v>
      </c>
      <c r="W267" s="3">
        <v>4479297.68</v>
      </c>
      <c r="X267" s="3">
        <v>14</v>
      </c>
      <c r="Y267" s="3">
        <v>319949.83429999999</v>
      </c>
    </row>
    <row r="268" spans="17:25" x14ac:dyDescent="0.25">
      <c r="Q268" s="3" t="s">
        <v>509</v>
      </c>
      <c r="R268" s="3" t="s">
        <v>524</v>
      </c>
      <c r="S268" s="3" t="s">
        <v>536</v>
      </c>
      <c r="T268" s="3">
        <v>7912000.21</v>
      </c>
      <c r="U268" s="3">
        <v>2090</v>
      </c>
      <c r="V268" s="3">
        <v>3785.6460339999999</v>
      </c>
      <c r="W268" s="3">
        <v>4386715.13</v>
      </c>
      <c r="X268" s="3">
        <v>1071</v>
      </c>
      <c r="Y268" s="3">
        <v>4095.9058169999998</v>
      </c>
    </row>
    <row r="269" spans="17:25" x14ac:dyDescent="0.25">
      <c r="Q269" s="3" t="s">
        <v>510</v>
      </c>
      <c r="R269" s="3" t="s">
        <v>525</v>
      </c>
      <c r="S269" s="3" t="s">
        <v>537</v>
      </c>
      <c r="T269" s="3">
        <v>3805553.13</v>
      </c>
      <c r="U269" s="3">
        <v>638</v>
      </c>
      <c r="V269" s="3">
        <v>5964.8168180000002</v>
      </c>
      <c r="W269" s="3">
        <v>4344086.93</v>
      </c>
      <c r="X269" s="3">
        <v>619</v>
      </c>
      <c r="Y269" s="3">
        <v>7017.9110339999997</v>
      </c>
    </row>
    <row r="270" spans="17:25" x14ac:dyDescent="0.25">
      <c r="Q270" s="3" t="s">
        <v>511</v>
      </c>
      <c r="R270" s="3" t="s">
        <v>526</v>
      </c>
      <c r="S270" s="3" t="s">
        <v>538</v>
      </c>
      <c r="T270" s="3">
        <v>8733241.0700000003</v>
      </c>
      <c r="U270" s="3">
        <v>7305</v>
      </c>
      <c r="V270" s="3">
        <v>1195.515547</v>
      </c>
      <c r="W270" s="3">
        <v>4285460.78</v>
      </c>
      <c r="X270" s="3">
        <v>6429</v>
      </c>
      <c r="Y270" s="3">
        <v>666.58279359999995</v>
      </c>
    </row>
    <row r="271" spans="17:25" x14ac:dyDescent="0.25">
      <c r="Q271" s="3" t="s">
        <v>512</v>
      </c>
      <c r="R271" s="3" t="s">
        <v>527</v>
      </c>
      <c r="S271" s="3" t="s">
        <v>539</v>
      </c>
      <c r="T271" s="3">
        <v>5718620.0999999996</v>
      </c>
      <c r="U271" s="3">
        <v>394</v>
      </c>
      <c r="V271" s="3">
        <v>14514.264209999999</v>
      </c>
      <c r="W271" s="3">
        <v>4251052.22</v>
      </c>
      <c r="X271" s="3">
        <v>198</v>
      </c>
      <c r="Y271" s="3">
        <v>21469.960709999999</v>
      </c>
    </row>
    <row r="272" spans="17:25" x14ac:dyDescent="0.25">
      <c r="Q272" s="3" t="s">
        <v>513</v>
      </c>
      <c r="R272" s="3" t="s">
        <v>528</v>
      </c>
      <c r="S272" s="3" t="s">
        <v>186</v>
      </c>
      <c r="T272" s="3">
        <v>6847393.0899999999</v>
      </c>
      <c r="U272" s="3">
        <v>1055</v>
      </c>
      <c r="V272" s="3">
        <v>6490.4199909999998</v>
      </c>
      <c r="W272" s="3">
        <v>4208204.54</v>
      </c>
      <c r="X272" s="3">
        <v>711</v>
      </c>
      <c r="Y272" s="3">
        <v>5918.7124329999997</v>
      </c>
    </row>
    <row r="273" spans="17:25" x14ac:dyDescent="0.25">
      <c r="Q273" s="3" t="s">
        <v>514</v>
      </c>
      <c r="R273" s="3" t="s">
        <v>529</v>
      </c>
      <c r="S273" s="3" t="s">
        <v>540</v>
      </c>
      <c r="T273" s="3">
        <v>9639969.8800000008</v>
      </c>
      <c r="U273" s="3">
        <v>51</v>
      </c>
      <c r="V273" s="3">
        <v>189019.01730000001</v>
      </c>
      <c r="W273" s="3">
        <v>4177658.01</v>
      </c>
      <c r="X273" s="3">
        <v>26</v>
      </c>
      <c r="Y273" s="3">
        <v>160679.15419999999</v>
      </c>
    </row>
    <row r="274" spans="17:25" x14ac:dyDescent="0.25">
      <c r="Q274" s="3" t="s">
        <v>515</v>
      </c>
      <c r="R274" s="3" t="s">
        <v>530</v>
      </c>
      <c r="S274" s="3" t="s">
        <v>280</v>
      </c>
      <c r="T274" s="3">
        <v>5465231.4900000002</v>
      </c>
      <c r="U274" s="3">
        <v>50</v>
      </c>
      <c r="V274" s="3">
        <v>109304.6298</v>
      </c>
      <c r="W274" s="3">
        <v>4115026.05</v>
      </c>
      <c r="X274" s="3">
        <v>55</v>
      </c>
      <c r="Y274" s="3">
        <v>74818.655459999994</v>
      </c>
    </row>
    <row r="275" spans="17:25" x14ac:dyDescent="0.25">
      <c r="Q275" s="3" t="s">
        <v>516</v>
      </c>
      <c r="R275" s="3" t="s">
        <v>531</v>
      </c>
      <c r="S275" s="3" t="s">
        <v>541</v>
      </c>
      <c r="T275" s="3">
        <v>564428.25</v>
      </c>
      <c r="U275" s="3">
        <v>13</v>
      </c>
      <c r="V275" s="3">
        <v>43417.557690000001</v>
      </c>
      <c r="W275" s="3">
        <v>4056681.49</v>
      </c>
      <c r="X275" s="3">
        <v>38</v>
      </c>
      <c r="Y275" s="3">
        <v>106754.7761</v>
      </c>
    </row>
    <row r="276" spans="17:25" x14ac:dyDescent="0.25">
      <c r="Q276" s="3" t="s">
        <v>1451</v>
      </c>
      <c r="R276" s="3" t="s">
        <v>79</v>
      </c>
      <c r="S276" s="3" t="s">
        <v>79</v>
      </c>
      <c r="T276" s="3"/>
      <c r="U276" s="3"/>
      <c r="V276" s="3"/>
      <c r="W276" s="3">
        <v>3964549.15</v>
      </c>
      <c r="X276" s="3">
        <v>527</v>
      </c>
      <c r="Y276" s="3">
        <v>7522.8636619999997</v>
      </c>
    </row>
    <row r="277" spans="17:25" x14ac:dyDescent="0.25">
      <c r="Q277" s="3" t="s">
        <v>1452</v>
      </c>
      <c r="R277" s="3" t="s">
        <v>1583</v>
      </c>
      <c r="S277" s="3"/>
      <c r="T277" s="3"/>
      <c r="U277" s="3"/>
      <c r="V277" s="3"/>
      <c r="W277" s="3">
        <v>3954298.44</v>
      </c>
      <c r="X277" s="3">
        <v>930</v>
      </c>
      <c r="Y277" s="3">
        <v>4251.9338070000003</v>
      </c>
    </row>
    <row r="278" spans="17:25" x14ac:dyDescent="0.25">
      <c r="Q278" s="3" t="s">
        <v>542</v>
      </c>
      <c r="R278" s="3" t="s">
        <v>545</v>
      </c>
      <c r="S278" s="3" t="s">
        <v>549</v>
      </c>
      <c r="T278" s="3">
        <v>3891943.96</v>
      </c>
      <c r="U278" s="3">
        <v>1673</v>
      </c>
      <c r="V278" s="3">
        <v>2326.3263360000001</v>
      </c>
      <c r="W278" s="3">
        <v>3916042.2</v>
      </c>
      <c r="X278" s="3">
        <v>1009</v>
      </c>
      <c r="Y278" s="3">
        <v>3881.1121899999998</v>
      </c>
    </row>
    <row r="279" spans="17:25" x14ac:dyDescent="0.25">
      <c r="Q279" s="3">
        <v>90675</v>
      </c>
      <c r="R279" s="3" t="s">
        <v>546</v>
      </c>
      <c r="S279" s="3" t="s">
        <v>550</v>
      </c>
      <c r="T279" s="3">
        <v>3592626.45</v>
      </c>
      <c r="U279" s="3">
        <v>4602</v>
      </c>
      <c r="V279" s="3">
        <v>780.66632990000005</v>
      </c>
      <c r="W279" s="3">
        <v>3885925.58</v>
      </c>
      <c r="X279" s="3">
        <v>4089</v>
      </c>
      <c r="Y279" s="3">
        <v>950.33640990000004</v>
      </c>
    </row>
    <row r="280" spans="17:25" x14ac:dyDescent="0.25">
      <c r="Q280" s="3" t="s">
        <v>543</v>
      </c>
      <c r="R280" s="3" t="s">
        <v>547</v>
      </c>
      <c r="S280" s="3" t="s">
        <v>551</v>
      </c>
      <c r="T280" s="3">
        <v>2742284.2</v>
      </c>
      <c r="U280" s="3">
        <v>23</v>
      </c>
      <c r="V280" s="3">
        <v>119229.7478</v>
      </c>
      <c r="W280" s="3">
        <v>3810677.6</v>
      </c>
      <c r="X280" s="3">
        <v>11</v>
      </c>
      <c r="Y280" s="3">
        <v>346425.23639999999</v>
      </c>
    </row>
    <row r="281" spans="17:25" x14ac:dyDescent="0.25">
      <c r="Q281" s="3" t="s">
        <v>544</v>
      </c>
      <c r="R281" s="3" t="s">
        <v>548</v>
      </c>
      <c r="S281" s="3" t="s">
        <v>552</v>
      </c>
      <c r="T281" s="3">
        <v>7662750.2800000003</v>
      </c>
      <c r="U281" s="3">
        <v>5693</v>
      </c>
      <c r="V281" s="3">
        <v>1345.9951309999999</v>
      </c>
      <c r="W281" s="3">
        <v>3749179.75</v>
      </c>
      <c r="X281" s="3">
        <v>5465</v>
      </c>
      <c r="Y281" s="3">
        <v>686.03472099999999</v>
      </c>
    </row>
    <row r="282" spans="17:25" x14ac:dyDescent="0.25">
      <c r="Q282" s="3" t="s">
        <v>1453</v>
      </c>
      <c r="R282" s="3" t="s">
        <v>1584</v>
      </c>
      <c r="S282" s="3" t="s">
        <v>1713</v>
      </c>
      <c r="T282" s="3"/>
      <c r="U282" s="3"/>
      <c r="V282" s="3"/>
      <c r="W282" s="3">
        <v>3692045.72</v>
      </c>
      <c r="X282" s="3">
        <v>1064</v>
      </c>
      <c r="Y282" s="3">
        <v>3469.9677820000002</v>
      </c>
    </row>
    <row r="283" spans="17:25" x14ac:dyDescent="0.25">
      <c r="Q283" s="3" t="s">
        <v>553</v>
      </c>
      <c r="R283" s="3" t="s">
        <v>554</v>
      </c>
      <c r="S283" s="3" t="s">
        <v>555</v>
      </c>
      <c r="T283" s="3">
        <v>4426051.42</v>
      </c>
      <c r="U283" s="3">
        <v>547578</v>
      </c>
      <c r="V283" s="3">
        <v>8.0829606379999994</v>
      </c>
      <c r="W283" s="3">
        <v>3548759.85</v>
      </c>
      <c r="X283" s="3">
        <v>417726</v>
      </c>
      <c r="Y283" s="3">
        <v>8.4954248719999992</v>
      </c>
    </row>
    <row r="284" spans="17:25" x14ac:dyDescent="0.25">
      <c r="Q284" s="3" t="s">
        <v>1454</v>
      </c>
      <c r="R284" s="3" t="s">
        <v>1585</v>
      </c>
      <c r="S284" s="3"/>
      <c r="T284" s="3"/>
      <c r="U284" s="3"/>
      <c r="V284" s="3"/>
      <c r="W284" s="3">
        <v>3526527.61</v>
      </c>
      <c r="X284" s="3">
        <v>454</v>
      </c>
      <c r="Y284" s="3">
        <v>7767.6819599999999</v>
      </c>
    </row>
    <row r="285" spans="17:25" x14ac:dyDescent="0.25">
      <c r="Q285" s="3" t="s">
        <v>556</v>
      </c>
      <c r="R285" s="3" t="s">
        <v>557</v>
      </c>
      <c r="S285" s="3" t="s">
        <v>558</v>
      </c>
      <c r="T285" s="3">
        <v>2851375.49</v>
      </c>
      <c r="U285" s="3">
        <v>30565</v>
      </c>
      <c r="V285" s="3">
        <v>93.288908559999996</v>
      </c>
      <c r="W285" s="3">
        <v>3525808.28</v>
      </c>
      <c r="X285" s="3">
        <v>38224</v>
      </c>
      <c r="Y285" s="3">
        <v>92.240693809999996</v>
      </c>
    </row>
    <row r="286" spans="17:25" x14ac:dyDescent="0.25">
      <c r="Q286" s="3" t="s">
        <v>1455</v>
      </c>
      <c r="R286" s="3" t="s">
        <v>1586</v>
      </c>
      <c r="S286" s="3" t="s">
        <v>1714</v>
      </c>
      <c r="T286" s="3">
        <v>18810084.969999999</v>
      </c>
      <c r="U286" s="3">
        <v>10557</v>
      </c>
      <c r="V286" s="3">
        <v>1781.7642289999999</v>
      </c>
      <c r="W286" s="3">
        <v>3490059.54</v>
      </c>
      <c r="X286" s="3">
        <v>1367</v>
      </c>
      <c r="Y286" s="3">
        <v>2553.0794000000001</v>
      </c>
    </row>
    <row r="287" spans="17:25" x14ac:dyDescent="0.25">
      <c r="Q287" s="3" t="s">
        <v>1456</v>
      </c>
      <c r="R287" s="3" t="s">
        <v>1587</v>
      </c>
      <c r="S287" s="3" t="s">
        <v>1715</v>
      </c>
      <c r="T287" s="3"/>
      <c r="U287" s="3"/>
      <c r="V287" s="3"/>
      <c r="W287" s="3">
        <v>3463547.66</v>
      </c>
      <c r="X287" s="3"/>
      <c r="Y287" s="3"/>
    </row>
    <row r="288" spans="17:25" x14ac:dyDescent="0.25">
      <c r="Q288" s="3">
        <v>90746</v>
      </c>
      <c r="R288" s="3" t="s">
        <v>562</v>
      </c>
      <c r="S288" s="3" t="s">
        <v>408</v>
      </c>
      <c r="T288" s="3">
        <v>5899354.4299999997</v>
      </c>
      <c r="U288" s="3">
        <v>62182</v>
      </c>
      <c r="V288" s="3">
        <v>94.872381559999994</v>
      </c>
      <c r="W288" s="3">
        <v>3457628.3</v>
      </c>
      <c r="X288" s="3">
        <v>32607</v>
      </c>
      <c r="Y288" s="3">
        <v>106.0394486</v>
      </c>
    </row>
    <row r="289" spans="17:25" x14ac:dyDescent="0.25">
      <c r="Q289" s="3" t="s">
        <v>559</v>
      </c>
      <c r="R289" s="3" t="s">
        <v>563</v>
      </c>
      <c r="S289" s="3" t="s">
        <v>566</v>
      </c>
      <c r="T289" s="3">
        <v>4851482.38</v>
      </c>
      <c r="U289" s="3">
        <v>973</v>
      </c>
      <c r="V289" s="3">
        <v>4986.1072770000001</v>
      </c>
      <c r="W289" s="3">
        <v>3340582.76</v>
      </c>
      <c r="X289" s="3">
        <v>567</v>
      </c>
      <c r="Y289" s="3">
        <v>5891.6803529999997</v>
      </c>
    </row>
    <row r="290" spans="17:25" x14ac:dyDescent="0.25">
      <c r="Q290" s="3" t="s">
        <v>560</v>
      </c>
      <c r="R290" s="3" t="s">
        <v>564</v>
      </c>
      <c r="S290" s="3" t="s">
        <v>564</v>
      </c>
      <c r="T290" s="3">
        <v>5762049.3200000003</v>
      </c>
      <c r="U290" s="3">
        <v>16234</v>
      </c>
      <c r="V290" s="3">
        <v>354.93712699999998</v>
      </c>
      <c r="W290" s="3">
        <v>3212047.86</v>
      </c>
      <c r="X290" s="3">
        <v>15349</v>
      </c>
      <c r="Y290" s="3">
        <v>209.2675653</v>
      </c>
    </row>
    <row r="291" spans="17:25" x14ac:dyDescent="0.25">
      <c r="Q291" s="3" t="s">
        <v>561</v>
      </c>
      <c r="R291" s="3" t="s">
        <v>565</v>
      </c>
      <c r="S291" s="3" t="s">
        <v>567</v>
      </c>
      <c r="T291" s="3">
        <v>993286.98</v>
      </c>
      <c r="U291" s="3">
        <v>4996</v>
      </c>
      <c r="V291" s="3">
        <v>198.81644919999999</v>
      </c>
      <c r="W291" s="3">
        <v>3176575.74</v>
      </c>
      <c r="X291" s="3">
        <v>4737</v>
      </c>
      <c r="Y291" s="3">
        <v>670.58808109999995</v>
      </c>
    </row>
    <row r="292" spans="17:25" x14ac:dyDescent="0.25">
      <c r="Q292" s="3" t="s">
        <v>1457</v>
      </c>
      <c r="R292" s="3" t="s">
        <v>1588</v>
      </c>
      <c r="S292" s="3" t="s">
        <v>1716</v>
      </c>
      <c r="T292" s="3">
        <v>4884324.5599999996</v>
      </c>
      <c r="U292" s="3">
        <v>193</v>
      </c>
      <c r="V292" s="3">
        <v>25307.381140000001</v>
      </c>
      <c r="W292" s="3">
        <v>2808759.73</v>
      </c>
      <c r="X292" s="3">
        <v>118</v>
      </c>
      <c r="Y292" s="3">
        <v>23803.048559999999</v>
      </c>
    </row>
    <row r="293" spans="17:25" x14ac:dyDescent="0.25">
      <c r="Q293" s="3" t="s">
        <v>568</v>
      </c>
      <c r="R293" s="3" t="s">
        <v>572</v>
      </c>
      <c r="S293" s="3" t="s">
        <v>576</v>
      </c>
      <c r="T293" s="3">
        <v>19360462.109999999</v>
      </c>
      <c r="U293" s="3">
        <v>26121</v>
      </c>
      <c r="V293" s="3">
        <v>741.1838027</v>
      </c>
      <c r="W293" s="3">
        <v>2777172.22</v>
      </c>
      <c r="X293" s="3">
        <v>9834</v>
      </c>
      <c r="Y293" s="3">
        <v>282.4051475</v>
      </c>
    </row>
    <row r="294" spans="17:25" x14ac:dyDescent="0.25">
      <c r="Q294" s="3" t="s">
        <v>569</v>
      </c>
      <c r="R294" s="3" t="s">
        <v>573</v>
      </c>
      <c r="S294" s="3" t="s">
        <v>573</v>
      </c>
      <c r="T294" s="3">
        <v>11688949.289999999</v>
      </c>
      <c r="U294" s="3">
        <v>576</v>
      </c>
      <c r="V294" s="3">
        <v>20293.314740000002</v>
      </c>
      <c r="W294" s="3">
        <v>2719370.98</v>
      </c>
      <c r="X294" s="3">
        <v>241</v>
      </c>
      <c r="Y294" s="3">
        <v>11283.69701</v>
      </c>
    </row>
    <row r="295" spans="17:25" x14ac:dyDescent="0.25">
      <c r="Q295" s="3" t="s">
        <v>570</v>
      </c>
      <c r="R295" s="3" t="s">
        <v>574</v>
      </c>
      <c r="S295" s="3" t="s">
        <v>577</v>
      </c>
      <c r="T295" s="3">
        <v>4254354.0199999996</v>
      </c>
      <c r="U295" s="3">
        <v>19155</v>
      </c>
      <c r="V295" s="3">
        <v>222.10148889999999</v>
      </c>
      <c r="W295" s="3">
        <v>2713531.69</v>
      </c>
      <c r="X295" s="3">
        <v>12960</v>
      </c>
      <c r="Y295" s="3">
        <v>209.37744520000001</v>
      </c>
    </row>
    <row r="296" spans="17:25" x14ac:dyDescent="0.25">
      <c r="Q296" s="3" t="s">
        <v>571</v>
      </c>
      <c r="R296" s="3" t="s">
        <v>575</v>
      </c>
      <c r="S296" s="3" t="s">
        <v>488</v>
      </c>
      <c r="T296" s="3">
        <v>4872398.75</v>
      </c>
      <c r="U296" s="3">
        <v>4069</v>
      </c>
      <c r="V296" s="3">
        <v>1197.4437820000001</v>
      </c>
      <c r="W296" s="3">
        <v>2645952.59</v>
      </c>
      <c r="X296" s="3">
        <v>2956</v>
      </c>
      <c r="Y296" s="3">
        <v>895.11251349999998</v>
      </c>
    </row>
    <row r="297" spans="17:25" x14ac:dyDescent="0.25">
      <c r="Q297" s="3" t="s">
        <v>1458</v>
      </c>
      <c r="R297" s="3" t="s">
        <v>1589</v>
      </c>
      <c r="S297" s="3"/>
      <c r="T297" s="3"/>
      <c r="U297" s="3"/>
      <c r="V297" s="3"/>
      <c r="W297" s="3">
        <v>2615532.31</v>
      </c>
      <c r="X297" s="3">
        <v>191</v>
      </c>
      <c r="Y297" s="3">
        <v>13693.88644</v>
      </c>
    </row>
    <row r="298" spans="17:25" x14ac:dyDescent="0.25">
      <c r="Q298" s="3" t="s">
        <v>578</v>
      </c>
      <c r="R298" s="3" t="s">
        <v>585</v>
      </c>
      <c r="S298" s="3" t="s">
        <v>585</v>
      </c>
      <c r="T298" s="3">
        <v>2530697.1</v>
      </c>
      <c r="U298" s="3">
        <v>22215</v>
      </c>
      <c r="V298" s="3">
        <v>113.91839299999999</v>
      </c>
      <c r="W298" s="3">
        <v>2610744.04</v>
      </c>
      <c r="X298" s="3">
        <v>18448</v>
      </c>
      <c r="Y298" s="3">
        <v>141.51908280000001</v>
      </c>
    </row>
    <row r="299" spans="17:25" x14ac:dyDescent="0.25">
      <c r="Q299" s="3" t="s">
        <v>579</v>
      </c>
      <c r="R299" s="3" t="s">
        <v>586</v>
      </c>
      <c r="S299" s="3" t="s">
        <v>592</v>
      </c>
      <c r="T299" s="3">
        <v>4868611.2300000004</v>
      </c>
      <c r="U299" s="3">
        <v>13916</v>
      </c>
      <c r="V299" s="3">
        <v>349.85708749999998</v>
      </c>
      <c r="W299" s="3">
        <v>2567585.38</v>
      </c>
      <c r="X299" s="3">
        <v>13363</v>
      </c>
      <c r="Y299" s="3">
        <v>192.14138890000001</v>
      </c>
    </row>
    <row r="300" spans="17:25" x14ac:dyDescent="0.25">
      <c r="Q300" s="3" t="s">
        <v>580</v>
      </c>
      <c r="R300" s="3" t="s">
        <v>587</v>
      </c>
      <c r="S300" s="3" t="s">
        <v>593</v>
      </c>
      <c r="T300" s="3">
        <v>4852493.7</v>
      </c>
      <c r="U300" s="3">
        <v>2628</v>
      </c>
      <c r="V300" s="3">
        <v>1846.4587899999999</v>
      </c>
      <c r="W300" s="3">
        <v>2537428.3199999998</v>
      </c>
      <c r="X300" s="3">
        <v>1407</v>
      </c>
      <c r="Y300" s="3">
        <v>1803.431642</v>
      </c>
    </row>
    <row r="301" spans="17:25" x14ac:dyDescent="0.25">
      <c r="Q301" s="3" t="s">
        <v>581</v>
      </c>
      <c r="R301" s="3" t="s">
        <v>588</v>
      </c>
      <c r="S301" s="3" t="s">
        <v>594</v>
      </c>
      <c r="T301" s="3">
        <v>2415942.5499999998</v>
      </c>
      <c r="U301" s="3">
        <v>180</v>
      </c>
      <c r="V301" s="3">
        <v>13421.903060000001</v>
      </c>
      <c r="W301" s="3">
        <v>2492364.25</v>
      </c>
      <c r="X301" s="3">
        <v>113</v>
      </c>
      <c r="Y301" s="3">
        <v>22056.320800000001</v>
      </c>
    </row>
    <row r="302" spans="17:25" x14ac:dyDescent="0.25">
      <c r="Q302" s="3" t="s">
        <v>582</v>
      </c>
      <c r="R302" s="3" t="s">
        <v>589</v>
      </c>
      <c r="S302" s="3" t="s">
        <v>595</v>
      </c>
      <c r="T302" s="3">
        <v>2281849.39</v>
      </c>
      <c r="U302" s="3">
        <v>1165665</v>
      </c>
      <c r="V302" s="3">
        <v>1.9575516040000001</v>
      </c>
      <c r="W302" s="3">
        <v>2447572.98</v>
      </c>
      <c r="X302" s="3">
        <v>921371</v>
      </c>
      <c r="Y302" s="3">
        <v>2.6564467299999999</v>
      </c>
    </row>
    <row r="303" spans="17:25" x14ac:dyDescent="0.25">
      <c r="Q303" s="3" t="s">
        <v>583</v>
      </c>
      <c r="R303" s="3" t="s">
        <v>590</v>
      </c>
      <c r="S303" s="3" t="s">
        <v>596</v>
      </c>
      <c r="T303" s="3">
        <v>2528440.9500000002</v>
      </c>
      <c r="U303" s="3">
        <v>29430</v>
      </c>
      <c r="V303" s="3">
        <v>85.913725790000001</v>
      </c>
      <c r="W303" s="3">
        <v>2392838.44</v>
      </c>
      <c r="X303" s="3">
        <v>30401</v>
      </c>
      <c r="Y303" s="3">
        <v>78.709201669999999</v>
      </c>
    </row>
    <row r="304" spans="17:25" x14ac:dyDescent="0.25">
      <c r="Q304" s="3" t="s">
        <v>584</v>
      </c>
      <c r="R304" s="3" t="s">
        <v>591</v>
      </c>
      <c r="S304" s="3" t="s">
        <v>597</v>
      </c>
      <c r="T304" s="3">
        <v>3963583.51</v>
      </c>
      <c r="U304" s="3">
        <v>741</v>
      </c>
      <c r="V304" s="3">
        <v>5348.9656009999999</v>
      </c>
      <c r="W304" s="3">
        <v>2351485.64</v>
      </c>
      <c r="X304" s="3">
        <v>309</v>
      </c>
      <c r="Y304" s="3">
        <v>7609.9858899999999</v>
      </c>
    </row>
    <row r="305" spans="17:25" x14ac:dyDescent="0.25">
      <c r="Q305" s="3" t="s">
        <v>1459</v>
      </c>
      <c r="R305" s="3" t="s">
        <v>1590</v>
      </c>
      <c r="S305" s="3" t="s">
        <v>1717</v>
      </c>
      <c r="T305" s="3"/>
      <c r="U305" s="3"/>
      <c r="V305" s="3"/>
      <c r="W305" s="3">
        <v>2339271.58</v>
      </c>
      <c r="X305" s="3">
        <v>78</v>
      </c>
      <c r="Y305" s="3">
        <v>29990.66128</v>
      </c>
    </row>
    <row r="306" spans="17:25" x14ac:dyDescent="0.25">
      <c r="Q306" s="3" t="s">
        <v>598</v>
      </c>
      <c r="R306" s="3" t="s">
        <v>602</v>
      </c>
      <c r="S306" s="3" t="s">
        <v>606</v>
      </c>
      <c r="T306" s="3">
        <v>5217873.28</v>
      </c>
      <c r="U306" s="3">
        <v>288</v>
      </c>
      <c r="V306" s="3">
        <v>18117.615559999998</v>
      </c>
      <c r="W306" s="3">
        <v>2315051.67</v>
      </c>
      <c r="X306" s="3">
        <v>253</v>
      </c>
      <c r="Y306" s="3">
        <v>9150.4018579999993</v>
      </c>
    </row>
    <row r="307" spans="17:25" x14ac:dyDescent="0.25">
      <c r="Q307" s="3" t="s">
        <v>599</v>
      </c>
      <c r="R307" s="3" t="s">
        <v>603</v>
      </c>
      <c r="S307" s="3" t="s">
        <v>607</v>
      </c>
      <c r="T307" s="3">
        <v>3860538.61</v>
      </c>
      <c r="U307" s="3">
        <v>1868</v>
      </c>
      <c r="V307" s="3">
        <v>2066.6694910000001</v>
      </c>
      <c r="W307" s="3">
        <v>2310625.7200000002</v>
      </c>
      <c r="X307" s="3">
        <v>1670</v>
      </c>
      <c r="Y307" s="3">
        <v>1383.6082160000001</v>
      </c>
    </row>
    <row r="308" spans="17:25" x14ac:dyDescent="0.25">
      <c r="Q308" s="3" t="s">
        <v>600</v>
      </c>
      <c r="R308" s="3" t="s">
        <v>604</v>
      </c>
      <c r="S308" s="3" t="s">
        <v>608</v>
      </c>
      <c r="T308" s="3">
        <v>182944.53</v>
      </c>
      <c r="U308" s="3">
        <v>110</v>
      </c>
      <c r="V308" s="3">
        <v>1663.1320909999999</v>
      </c>
      <c r="W308" s="3">
        <v>2275395.6800000002</v>
      </c>
      <c r="X308" s="3">
        <v>677</v>
      </c>
      <c r="Y308" s="3">
        <v>3360.9980500000001</v>
      </c>
    </row>
    <row r="309" spans="17:25" x14ac:dyDescent="0.25">
      <c r="Q309" s="3" t="s">
        <v>601</v>
      </c>
      <c r="R309" s="3" t="s">
        <v>605</v>
      </c>
      <c r="S309" s="3" t="s">
        <v>609</v>
      </c>
      <c r="T309" s="3">
        <v>1658733.58</v>
      </c>
      <c r="U309" s="3">
        <v>13</v>
      </c>
      <c r="V309" s="3">
        <v>127594.89079999999</v>
      </c>
      <c r="W309" s="3">
        <v>2258904.52</v>
      </c>
      <c r="X309" s="3">
        <v>61</v>
      </c>
      <c r="Y309" s="3">
        <v>37031.221640000003</v>
      </c>
    </row>
    <row r="310" spans="17:25" x14ac:dyDescent="0.25">
      <c r="Q310" s="3" t="s">
        <v>1460</v>
      </c>
      <c r="R310" s="3" t="s">
        <v>1591</v>
      </c>
      <c r="S310" s="3" t="s">
        <v>1718</v>
      </c>
      <c r="T310" s="3"/>
      <c r="U310" s="3"/>
      <c r="V310" s="3"/>
      <c r="W310" s="3">
        <v>2197743.4300000002</v>
      </c>
      <c r="X310" s="3"/>
      <c r="Y310" s="3"/>
    </row>
    <row r="311" spans="17:25" x14ac:dyDescent="0.25">
      <c r="Q311" s="3" t="s">
        <v>610</v>
      </c>
      <c r="R311" s="3" t="s">
        <v>622</v>
      </c>
      <c r="S311" s="3" t="s">
        <v>622</v>
      </c>
      <c r="T311" s="3">
        <v>3247881.26</v>
      </c>
      <c r="U311" s="3">
        <v>32910</v>
      </c>
      <c r="V311" s="3">
        <v>98.689798240000002</v>
      </c>
      <c r="W311" s="3">
        <v>2117021.75</v>
      </c>
      <c r="X311" s="3">
        <v>27159</v>
      </c>
      <c r="Y311" s="3">
        <v>77.949178910000001</v>
      </c>
    </row>
    <row r="312" spans="17:25" x14ac:dyDescent="0.25">
      <c r="Q312" s="3" t="s">
        <v>611</v>
      </c>
      <c r="R312" s="3" t="s">
        <v>623</v>
      </c>
      <c r="S312" s="3" t="s">
        <v>635</v>
      </c>
      <c r="T312" s="3">
        <v>2326994.91</v>
      </c>
      <c r="U312" s="3">
        <v>9719</v>
      </c>
      <c r="V312" s="3">
        <v>239.427401</v>
      </c>
      <c r="W312" s="3">
        <v>2105222.62</v>
      </c>
      <c r="X312" s="3">
        <v>5751</v>
      </c>
      <c r="Y312" s="3">
        <v>366.06201010000001</v>
      </c>
    </row>
    <row r="313" spans="17:25" x14ac:dyDescent="0.25">
      <c r="Q313" s="3" t="s">
        <v>612</v>
      </c>
      <c r="R313" s="3" t="s">
        <v>624</v>
      </c>
      <c r="S313" s="3" t="s">
        <v>636</v>
      </c>
      <c r="T313" s="3">
        <v>2506442.4700000002</v>
      </c>
      <c r="U313" s="3">
        <v>59909</v>
      </c>
      <c r="V313" s="3">
        <v>41.837494700000001</v>
      </c>
      <c r="W313" s="3">
        <v>2089198.52</v>
      </c>
      <c r="X313" s="3">
        <v>42251</v>
      </c>
      <c r="Y313" s="3">
        <v>49.447315330000002</v>
      </c>
    </row>
    <row r="314" spans="17:25" x14ac:dyDescent="0.25">
      <c r="Q314" s="3" t="s">
        <v>613</v>
      </c>
      <c r="R314" s="3" t="s">
        <v>625</v>
      </c>
      <c r="S314" s="3" t="s">
        <v>637</v>
      </c>
      <c r="T314" s="3">
        <v>1396845.14</v>
      </c>
      <c r="U314" s="3">
        <v>508</v>
      </c>
      <c r="V314" s="3">
        <v>2749.695158</v>
      </c>
      <c r="W314" s="3">
        <v>2075657.96</v>
      </c>
      <c r="X314" s="3">
        <v>586</v>
      </c>
      <c r="Y314" s="3">
        <v>3542.07843</v>
      </c>
    </row>
    <row r="315" spans="17:25" x14ac:dyDescent="0.25">
      <c r="Q315" s="3">
        <v>90715</v>
      </c>
      <c r="R315" s="3" t="s">
        <v>626</v>
      </c>
      <c r="S315" s="3" t="s">
        <v>638</v>
      </c>
      <c r="T315" s="3">
        <v>2090915.13</v>
      </c>
      <c r="U315" s="3">
        <v>67781</v>
      </c>
      <c r="V315" s="3">
        <v>30.848100939999998</v>
      </c>
      <c r="W315" s="3">
        <v>2045912.92</v>
      </c>
      <c r="X315" s="3">
        <v>59128</v>
      </c>
      <c r="Y315" s="3">
        <v>34.601422679999999</v>
      </c>
    </row>
    <row r="316" spans="17:25" x14ac:dyDescent="0.25">
      <c r="Q316" s="3" t="s">
        <v>614</v>
      </c>
      <c r="R316" s="3" t="s">
        <v>627</v>
      </c>
      <c r="S316" s="3" t="s">
        <v>627</v>
      </c>
      <c r="T316" s="3">
        <v>1582287.34</v>
      </c>
      <c r="U316" s="3">
        <v>4455</v>
      </c>
      <c r="V316" s="3">
        <v>355.1711201</v>
      </c>
      <c r="W316" s="3">
        <v>1979223.02</v>
      </c>
      <c r="X316" s="3">
        <v>3566</v>
      </c>
      <c r="Y316" s="3">
        <v>555.02608529999998</v>
      </c>
    </row>
    <row r="317" spans="17:25" x14ac:dyDescent="0.25">
      <c r="Q317" s="3" t="s">
        <v>615</v>
      </c>
      <c r="R317" s="3" t="s">
        <v>628</v>
      </c>
      <c r="S317" s="3" t="s">
        <v>639</v>
      </c>
      <c r="T317" s="3">
        <v>1811695.16</v>
      </c>
      <c r="U317" s="3">
        <v>419</v>
      </c>
      <c r="V317" s="3">
        <v>4323.854797</v>
      </c>
      <c r="W317" s="3">
        <v>1907849.91</v>
      </c>
      <c r="X317" s="3">
        <v>424</v>
      </c>
      <c r="Y317" s="3">
        <v>4499.6460139999999</v>
      </c>
    </row>
    <row r="318" spans="17:25" x14ac:dyDescent="0.25">
      <c r="Q318" s="3" t="s">
        <v>616</v>
      </c>
      <c r="R318" s="3" t="s">
        <v>629</v>
      </c>
      <c r="S318" s="3" t="s">
        <v>640</v>
      </c>
      <c r="T318" s="3">
        <v>3649301.68</v>
      </c>
      <c r="U318" s="3">
        <v>304</v>
      </c>
      <c r="V318" s="3">
        <v>12004.28184</v>
      </c>
      <c r="W318" s="3">
        <v>1892070.35</v>
      </c>
      <c r="X318" s="3">
        <v>121</v>
      </c>
      <c r="Y318" s="3">
        <v>15636.945040000001</v>
      </c>
    </row>
    <row r="319" spans="17:25" x14ac:dyDescent="0.25">
      <c r="Q319" s="3" t="s">
        <v>617</v>
      </c>
      <c r="R319" s="3" t="s">
        <v>630</v>
      </c>
      <c r="S319" s="3" t="s">
        <v>630</v>
      </c>
      <c r="T319" s="3">
        <v>3108583.96</v>
      </c>
      <c r="U319" s="3">
        <v>934</v>
      </c>
      <c r="V319" s="3">
        <v>3328.2483510000002</v>
      </c>
      <c r="W319" s="3">
        <v>1882326.11</v>
      </c>
      <c r="X319" s="3">
        <v>467</v>
      </c>
      <c r="Y319" s="3">
        <v>4030.6768950000001</v>
      </c>
    </row>
    <row r="320" spans="17:25" x14ac:dyDescent="0.25">
      <c r="Q320" s="3" t="s">
        <v>618</v>
      </c>
      <c r="R320" s="3" t="s">
        <v>631</v>
      </c>
      <c r="S320" s="3" t="s">
        <v>641</v>
      </c>
      <c r="T320" s="3">
        <v>208938.83</v>
      </c>
      <c r="U320" s="3">
        <v>149</v>
      </c>
      <c r="V320" s="3">
        <v>1402.2740269999999</v>
      </c>
      <c r="W320" s="3">
        <v>1865929.39</v>
      </c>
      <c r="X320" s="3">
        <v>1381</v>
      </c>
      <c r="Y320" s="3">
        <v>1351.1436570000001</v>
      </c>
    </row>
    <row r="321" spans="17:25" x14ac:dyDescent="0.25">
      <c r="Q321" s="3" t="s">
        <v>619</v>
      </c>
      <c r="R321" s="3" t="s">
        <v>632</v>
      </c>
      <c r="S321" s="3" t="s">
        <v>642</v>
      </c>
      <c r="T321" s="3">
        <v>2248295.5499999998</v>
      </c>
      <c r="U321" s="3">
        <v>101</v>
      </c>
      <c r="V321" s="3">
        <v>22260.351979999999</v>
      </c>
      <c r="W321" s="3">
        <v>1855531.15</v>
      </c>
      <c r="X321" s="3">
        <v>97</v>
      </c>
      <c r="Y321" s="3">
        <v>19129.187109999999</v>
      </c>
    </row>
    <row r="322" spans="17:25" x14ac:dyDescent="0.25">
      <c r="Q322" s="3" t="s">
        <v>620</v>
      </c>
      <c r="R322" s="3" t="s">
        <v>633</v>
      </c>
      <c r="S322" s="3" t="s">
        <v>643</v>
      </c>
      <c r="T322" s="3">
        <v>726018.6</v>
      </c>
      <c r="U322" s="3">
        <v>25769</v>
      </c>
      <c r="V322" s="3">
        <v>28.17410843</v>
      </c>
      <c r="W322" s="3">
        <v>1854267.27</v>
      </c>
      <c r="X322" s="3">
        <v>23348</v>
      </c>
      <c r="Y322" s="3">
        <v>79.418676980000001</v>
      </c>
    </row>
    <row r="323" spans="17:25" x14ac:dyDescent="0.25">
      <c r="Q323" s="3" t="s">
        <v>621</v>
      </c>
      <c r="R323" s="3" t="s">
        <v>634</v>
      </c>
      <c r="S323" s="3" t="s">
        <v>644</v>
      </c>
      <c r="T323" s="3">
        <v>1293816.1200000001</v>
      </c>
      <c r="U323" s="3">
        <v>53</v>
      </c>
      <c r="V323" s="3">
        <v>24411.624909999999</v>
      </c>
      <c r="W323" s="3">
        <v>1831045.57</v>
      </c>
      <c r="X323" s="3">
        <v>43</v>
      </c>
      <c r="Y323" s="3">
        <v>42582.455119999999</v>
      </c>
    </row>
    <row r="324" spans="17:25" x14ac:dyDescent="0.25">
      <c r="Q324" s="3" t="s">
        <v>1461</v>
      </c>
      <c r="R324" s="3" t="s">
        <v>1592</v>
      </c>
      <c r="S324" s="3" t="s">
        <v>1719</v>
      </c>
      <c r="T324" s="3"/>
      <c r="U324" s="3"/>
      <c r="V324" s="3"/>
      <c r="W324" s="3">
        <v>1827628.59</v>
      </c>
      <c r="X324" s="3">
        <v>184</v>
      </c>
      <c r="Y324" s="3">
        <v>9932.7640759999995</v>
      </c>
    </row>
    <row r="325" spans="17:25" x14ac:dyDescent="0.25">
      <c r="Q325" s="3" t="s">
        <v>645</v>
      </c>
      <c r="R325" s="3" t="s">
        <v>648</v>
      </c>
      <c r="S325" s="3" t="s">
        <v>651</v>
      </c>
      <c r="T325" s="3">
        <v>1078042.74</v>
      </c>
      <c r="U325" s="3">
        <v>175</v>
      </c>
      <c r="V325" s="3">
        <v>6160.2442289999999</v>
      </c>
      <c r="W325" s="3">
        <v>1791467.83</v>
      </c>
      <c r="X325" s="3">
        <v>228</v>
      </c>
      <c r="Y325" s="3">
        <v>7857.3150439999999</v>
      </c>
    </row>
    <row r="326" spans="17:25" x14ac:dyDescent="0.25">
      <c r="Q326" s="3" t="s">
        <v>646</v>
      </c>
      <c r="R326" s="3" t="s">
        <v>649</v>
      </c>
      <c r="S326" s="3" t="s">
        <v>649</v>
      </c>
      <c r="T326" s="3">
        <v>110306.52</v>
      </c>
      <c r="U326" s="3">
        <v>3381</v>
      </c>
      <c r="V326" s="3">
        <v>32.625412599999997</v>
      </c>
      <c r="W326" s="3">
        <v>1752222.82</v>
      </c>
      <c r="X326" s="3">
        <v>12744</v>
      </c>
      <c r="Y326" s="3">
        <v>137.49394380000001</v>
      </c>
    </row>
    <row r="327" spans="17:25" x14ac:dyDescent="0.25">
      <c r="Q327" s="3" t="s">
        <v>647</v>
      </c>
      <c r="R327" s="3" t="s">
        <v>650</v>
      </c>
      <c r="S327" s="3" t="s">
        <v>652</v>
      </c>
      <c r="T327" s="3">
        <v>2378355.67</v>
      </c>
      <c r="U327" s="3">
        <v>8386</v>
      </c>
      <c r="V327" s="3">
        <v>283.61026349999997</v>
      </c>
      <c r="W327" s="3">
        <v>1725327.38</v>
      </c>
      <c r="X327" s="3">
        <v>7718</v>
      </c>
      <c r="Y327" s="3">
        <v>223.54591600000001</v>
      </c>
    </row>
    <row r="328" spans="17:25" x14ac:dyDescent="0.25">
      <c r="Q328" s="3" t="s">
        <v>1462</v>
      </c>
      <c r="R328" s="3" t="s">
        <v>1593</v>
      </c>
      <c r="S328" s="3" t="s">
        <v>1720</v>
      </c>
      <c r="T328" s="3"/>
      <c r="U328" s="3"/>
      <c r="V328" s="3"/>
      <c r="W328" s="3">
        <v>1710572.66</v>
      </c>
      <c r="X328" s="3">
        <v>105</v>
      </c>
      <c r="Y328" s="3">
        <v>16291.16819</v>
      </c>
    </row>
    <row r="329" spans="17:25" x14ac:dyDescent="0.25">
      <c r="Q329" s="3" t="s">
        <v>653</v>
      </c>
      <c r="R329" s="3" t="s">
        <v>655</v>
      </c>
      <c r="S329" s="3" t="s">
        <v>655</v>
      </c>
      <c r="T329" s="3">
        <v>9448386.6799999997</v>
      </c>
      <c r="U329" s="3">
        <v>198</v>
      </c>
      <c r="V329" s="3">
        <v>47719.124649999998</v>
      </c>
      <c r="W329" s="3">
        <v>1701300.61</v>
      </c>
      <c r="X329" s="3">
        <v>160</v>
      </c>
      <c r="Y329" s="3">
        <v>10633.12881</v>
      </c>
    </row>
    <row r="330" spans="17:25" x14ac:dyDescent="0.25">
      <c r="Q330" s="3" t="s">
        <v>654</v>
      </c>
      <c r="R330" s="3" t="s">
        <v>656</v>
      </c>
      <c r="S330" s="3" t="s">
        <v>657</v>
      </c>
      <c r="T330" s="3">
        <v>1013582.68</v>
      </c>
      <c r="U330" s="3"/>
      <c r="V330" s="3"/>
      <c r="W330" s="3">
        <v>1680890.67</v>
      </c>
      <c r="X330" s="3"/>
      <c r="Y330" s="3"/>
    </row>
    <row r="331" spans="17:25" x14ac:dyDescent="0.25">
      <c r="Q331" s="3" t="s">
        <v>1463</v>
      </c>
      <c r="R331" s="3" t="s">
        <v>1594</v>
      </c>
      <c r="S331" s="3" t="s">
        <v>1721</v>
      </c>
      <c r="T331" s="3"/>
      <c r="U331" s="3"/>
      <c r="V331" s="3"/>
      <c r="W331" s="3">
        <v>1621500.85</v>
      </c>
      <c r="X331" s="3">
        <v>262</v>
      </c>
      <c r="Y331" s="3">
        <v>6188.934542</v>
      </c>
    </row>
    <row r="332" spans="17:25" x14ac:dyDescent="0.25">
      <c r="Q332" s="3" t="s">
        <v>1464</v>
      </c>
      <c r="R332" s="3" t="s">
        <v>1595</v>
      </c>
      <c r="S332" s="3"/>
      <c r="T332" s="3"/>
      <c r="U332" s="3"/>
      <c r="V332" s="3"/>
      <c r="W332" s="3">
        <v>1619650.61</v>
      </c>
      <c r="X332" s="3">
        <v>171</v>
      </c>
      <c r="Y332" s="3">
        <v>9471.6409939999994</v>
      </c>
    </row>
    <row r="333" spans="17:25" x14ac:dyDescent="0.25">
      <c r="Q333" s="3">
        <v>90714</v>
      </c>
      <c r="R333" s="3" t="s">
        <v>658</v>
      </c>
      <c r="S333" s="3" t="s">
        <v>659</v>
      </c>
      <c r="T333" s="3">
        <v>1804679.65</v>
      </c>
      <c r="U333" s="3">
        <v>76095</v>
      </c>
      <c r="V333" s="3">
        <v>23.716139689999999</v>
      </c>
      <c r="W333" s="3">
        <v>1592124.46</v>
      </c>
      <c r="X333" s="3">
        <v>60985</v>
      </c>
      <c r="Y333" s="3">
        <v>26.106820689999999</v>
      </c>
    </row>
    <row r="334" spans="17:25" x14ac:dyDescent="0.25">
      <c r="Q334" s="3" t="s">
        <v>1465</v>
      </c>
      <c r="R334" s="3" t="s">
        <v>1596</v>
      </c>
      <c r="S334" s="3" t="s">
        <v>1722</v>
      </c>
      <c r="T334" s="3"/>
      <c r="U334" s="3"/>
      <c r="V334" s="3"/>
      <c r="W334" s="3">
        <v>1556156.43</v>
      </c>
      <c r="X334" s="3">
        <v>23</v>
      </c>
      <c r="Y334" s="3">
        <v>67658.975219999993</v>
      </c>
    </row>
    <row r="335" spans="17:25" x14ac:dyDescent="0.25">
      <c r="Q335" s="3" t="s">
        <v>660</v>
      </c>
      <c r="R335" s="3" t="s">
        <v>666</v>
      </c>
      <c r="S335" s="3" t="s">
        <v>672</v>
      </c>
      <c r="T335" s="3">
        <v>2432430.37</v>
      </c>
      <c r="U335" s="3">
        <v>12</v>
      </c>
      <c r="V335" s="3">
        <v>202702.53080000001</v>
      </c>
      <c r="W335" s="3">
        <v>1525481.03</v>
      </c>
      <c r="X335" s="3"/>
      <c r="Y335" s="3"/>
    </row>
    <row r="336" spans="17:25" x14ac:dyDescent="0.25">
      <c r="Q336" s="3" t="s">
        <v>661</v>
      </c>
      <c r="R336" s="3" t="s">
        <v>667</v>
      </c>
      <c r="S336" s="3" t="s">
        <v>371</v>
      </c>
      <c r="T336" s="3">
        <v>2516390.42</v>
      </c>
      <c r="U336" s="3">
        <v>1306</v>
      </c>
      <c r="V336" s="3">
        <v>1926.792052</v>
      </c>
      <c r="W336" s="3">
        <v>1519574.74</v>
      </c>
      <c r="X336" s="3">
        <v>930</v>
      </c>
      <c r="Y336" s="3">
        <v>1633.951333</v>
      </c>
    </row>
    <row r="337" spans="17:25" x14ac:dyDescent="0.25">
      <c r="Q337" s="3" t="s">
        <v>662</v>
      </c>
      <c r="R337" s="3" t="s">
        <v>668</v>
      </c>
      <c r="S337" s="3" t="s">
        <v>673</v>
      </c>
      <c r="T337" s="3">
        <v>2791338.46</v>
      </c>
      <c r="U337" s="3">
        <v>232</v>
      </c>
      <c r="V337" s="3">
        <v>12031.631289999999</v>
      </c>
      <c r="W337" s="3">
        <v>1517399.73</v>
      </c>
      <c r="X337" s="3">
        <v>109</v>
      </c>
      <c r="Y337" s="3">
        <v>13921.09844</v>
      </c>
    </row>
    <row r="338" spans="17:25" x14ac:dyDescent="0.25">
      <c r="Q338" s="3" t="s">
        <v>663</v>
      </c>
      <c r="R338" s="3" t="s">
        <v>669</v>
      </c>
      <c r="S338" s="3" t="s">
        <v>674</v>
      </c>
      <c r="T338" s="3">
        <v>2325195.11</v>
      </c>
      <c r="U338" s="3">
        <v>150545</v>
      </c>
      <c r="V338" s="3">
        <v>15.44518323</v>
      </c>
      <c r="W338" s="3">
        <v>1487852.36</v>
      </c>
      <c r="X338" s="3">
        <v>95003</v>
      </c>
      <c r="Y338" s="3">
        <v>15.661109229999999</v>
      </c>
    </row>
    <row r="339" spans="17:25" x14ac:dyDescent="0.25">
      <c r="Q339" s="3" t="s">
        <v>664</v>
      </c>
      <c r="R339" s="3" t="s">
        <v>670</v>
      </c>
      <c r="S339" s="3" t="s">
        <v>675</v>
      </c>
      <c r="T339" s="3">
        <v>1998679.13</v>
      </c>
      <c r="U339" s="3">
        <v>581</v>
      </c>
      <c r="V339" s="3">
        <v>3440.0673489999999</v>
      </c>
      <c r="W339" s="3">
        <v>1472151.72</v>
      </c>
      <c r="X339" s="3">
        <v>408</v>
      </c>
      <c r="Y339" s="3">
        <v>3608.2150000000001</v>
      </c>
    </row>
    <row r="340" spans="17:25" x14ac:dyDescent="0.25">
      <c r="Q340" s="3" t="s">
        <v>665</v>
      </c>
      <c r="R340" s="3" t="s">
        <v>671</v>
      </c>
      <c r="S340" s="3" t="s">
        <v>676</v>
      </c>
      <c r="T340" s="3">
        <v>3252542.8</v>
      </c>
      <c r="U340" s="3">
        <v>106180</v>
      </c>
      <c r="V340" s="3">
        <v>30.632348839999999</v>
      </c>
      <c r="W340" s="3">
        <v>1464069.64</v>
      </c>
      <c r="X340" s="3">
        <v>54418</v>
      </c>
      <c r="Y340" s="3">
        <v>26.904142749999998</v>
      </c>
    </row>
    <row r="341" spans="17:25" x14ac:dyDescent="0.25">
      <c r="Q341" s="3" t="s">
        <v>1466</v>
      </c>
      <c r="R341" s="3" t="s">
        <v>1597</v>
      </c>
      <c r="S341" s="3"/>
      <c r="T341" s="3"/>
      <c r="U341" s="3"/>
      <c r="V341" s="3"/>
      <c r="W341" s="3">
        <v>1409253.55</v>
      </c>
      <c r="X341" s="3">
        <v>358</v>
      </c>
      <c r="Y341" s="3">
        <v>3936.46243</v>
      </c>
    </row>
    <row r="342" spans="17:25" x14ac:dyDescent="0.25">
      <c r="Q342" s="3" t="s">
        <v>677</v>
      </c>
      <c r="R342" s="3" t="s">
        <v>679</v>
      </c>
      <c r="S342" s="3" t="s">
        <v>681</v>
      </c>
      <c r="T342" s="3">
        <v>1027985.18</v>
      </c>
      <c r="U342" s="3">
        <v>60</v>
      </c>
      <c r="V342" s="3">
        <v>17133.086329999998</v>
      </c>
      <c r="W342" s="3">
        <v>1404323.47</v>
      </c>
      <c r="X342" s="3">
        <v>65</v>
      </c>
      <c r="Y342" s="3">
        <v>21604.976460000002</v>
      </c>
    </row>
    <row r="343" spans="17:25" x14ac:dyDescent="0.25">
      <c r="Q343" s="3" t="s">
        <v>678</v>
      </c>
      <c r="R343" s="3" t="s">
        <v>680</v>
      </c>
      <c r="S343" s="3" t="s">
        <v>680</v>
      </c>
      <c r="T343" s="3">
        <v>2710222.46</v>
      </c>
      <c r="U343" s="3">
        <v>100096</v>
      </c>
      <c r="V343" s="3">
        <v>27.076231419999999</v>
      </c>
      <c r="W343" s="3">
        <v>1395121.75</v>
      </c>
      <c r="X343" s="3">
        <v>40016</v>
      </c>
      <c r="Y343" s="3">
        <v>34.86409811</v>
      </c>
    </row>
    <row r="344" spans="17:25" x14ac:dyDescent="0.25">
      <c r="Q344" s="3" t="s">
        <v>1467</v>
      </c>
      <c r="R344" s="3" t="s">
        <v>1598</v>
      </c>
      <c r="S344" s="3" t="s">
        <v>1723</v>
      </c>
      <c r="T344" s="3"/>
      <c r="U344" s="3"/>
      <c r="V344" s="3"/>
      <c r="W344" s="3">
        <v>1393971.14</v>
      </c>
      <c r="X344" s="3">
        <v>257</v>
      </c>
      <c r="Y344" s="3">
        <v>5424.0122179999998</v>
      </c>
    </row>
    <row r="345" spans="17:25" x14ac:dyDescent="0.25">
      <c r="Q345" s="3" t="s">
        <v>682</v>
      </c>
      <c r="R345" s="3" t="s">
        <v>685</v>
      </c>
      <c r="S345" s="3" t="s">
        <v>688</v>
      </c>
      <c r="T345" s="3">
        <v>3044415.89</v>
      </c>
      <c r="U345" s="3">
        <v>486</v>
      </c>
      <c r="V345" s="3">
        <v>6264.2302259999997</v>
      </c>
      <c r="W345" s="3">
        <v>1353072.6</v>
      </c>
      <c r="X345" s="3">
        <v>180</v>
      </c>
      <c r="Y345" s="3">
        <v>7517.07</v>
      </c>
    </row>
    <row r="346" spans="17:25" x14ac:dyDescent="0.25">
      <c r="Q346" s="3" t="s">
        <v>683</v>
      </c>
      <c r="R346" s="3" t="s">
        <v>686</v>
      </c>
      <c r="S346" s="3" t="s">
        <v>675</v>
      </c>
      <c r="T346" s="3">
        <v>1973474.42</v>
      </c>
      <c r="U346" s="3">
        <v>451</v>
      </c>
      <c r="V346" s="3">
        <v>4375.7747669999999</v>
      </c>
      <c r="W346" s="3">
        <v>1318155.98</v>
      </c>
      <c r="X346" s="3">
        <v>308</v>
      </c>
      <c r="Y346" s="3">
        <v>4279.7272080000002</v>
      </c>
    </row>
    <row r="347" spans="17:25" x14ac:dyDescent="0.25">
      <c r="Q347" s="3" t="s">
        <v>684</v>
      </c>
      <c r="R347" s="3" t="s">
        <v>687</v>
      </c>
      <c r="S347" s="3" t="s">
        <v>689</v>
      </c>
      <c r="T347" s="3">
        <v>2461064.63</v>
      </c>
      <c r="U347" s="3">
        <v>628991</v>
      </c>
      <c r="V347" s="3">
        <v>3.9127183539999999</v>
      </c>
      <c r="W347" s="3">
        <v>1304779.6100000001</v>
      </c>
      <c r="X347" s="3">
        <v>362193</v>
      </c>
      <c r="Y347" s="3">
        <v>3.602442924</v>
      </c>
    </row>
    <row r="348" spans="17:25" x14ac:dyDescent="0.25">
      <c r="Q348" s="3" t="s">
        <v>1468</v>
      </c>
      <c r="R348" s="3" t="s">
        <v>1599</v>
      </c>
      <c r="S348" s="3"/>
      <c r="T348" s="3"/>
      <c r="U348" s="3"/>
      <c r="V348" s="3"/>
      <c r="W348" s="3">
        <v>1296955.33</v>
      </c>
      <c r="X348" s="3">
        <v>193</v>
      </c>
      <c r="Y348" s="3">
        <v>6719.9758030000003</v>
      </c>
    </row>
    <row r="349" spans="17:25" x14ac:dyDescent="0.25">
      <c r="Q349" s="3" t="s">
        <v>690</v>
      </c>
      <c r="R349" s="3" t="s">
        <v>694</v>
      </c>
      <c r="S349" s="3" t="s">
        <v>698</v>
      </c>
      <c r="T349" s="3">
        <v>1380892.64</v>
      </c>
      <c r="U349" s="3">
        <v>4399</v>
      </c>
      <c r="V349" s="3">
        <v>313.91057970000003</v>
      </c>
      <c r="W349" s="3">
        <v>1296061.25</v>
      </c>
      <c r="X349" s="3">
        <v>3725</v>
      </c>
      <c r="Y349" s="3">
        <v>347.93590599999999</v>
      </c>
    </row>
    <row r="350" spans="17:25" x14ac:dyDescent="0.25">
      <c r="Q350" s="3" t="s">
        <v>691</v>
      </c>
      <c r="R350" s="3" t="s">
        <v>695</v>
      </c>
      <c r="S350" s="3" t="s">
        <v>695</v>
      </c>
      <c r="T350" s="3">
        <v>817939.3</v>
      </c>
      <c r="U350" s="3">
        <v>11179</v>
      </c>
      <c r="V350" s="3">
        <v>73.167483680000004</v>
      </c>
      <c r="W350" s="3">
        <v>1239331.49</v>
      </c>
      <c r="X350" s="3">
        <v>7430</v>
      </c>
      <c r="Y350" s="3">
        <v>166.80100809999999</v>
      </c>
    </row>
    <row r="351" spans="17:25" x14ac:dyDescent="0.25">
      <c r="Q351" s="3" t="s">
        <v>692</v>
      </c>
      <c r="R351" s="3" t="s">
        <v>696</v>
      </c>
      <c r="S351" s="3" t="s">
        <v>699</v>
      </c>
      <c r="T351" s="3">
        <v>1335584.1000000001</v>
      </c>
      <c r="U351" s="3">
        <v>158196</v>
      </c>
      <c r="V351" s="3">
        <v>8.4425908369999991</v>
      </c>
      <c r="W351" s="3">
        <v>1209950.8700000001</v>
      </c>
      <c r="X351" s="3">
        <v>156636</v>
      </c>
      <c r="Y351" s="3">
        <v>7.7246027100000001</v>
      </c>
    </row>
    <row r="352" spans="17:25" x14ac:dyDescent="0.25">
      <c r="Q352" s="3" t="s">
        <v>693</v>
      </c>
      <c r="R352" s="3" t="s">
        <v>697</v>
      </c>
      <c r="S352" s="3" t="s">
        <v>700</v>
      </c>
      <c r="T352" s="3">
        <v>1917861.26</v>
      </c>
      <c r="U352" s="3">
        <v>63499</v>
      </c>
      <c r="V352" s="3">
        <v>30.20301517</v>
      </c>
      <c r="W352" s="3">
        <v>1194925.1200000001</v>
      </c>
      <c r="X352" s="3">
        <v>45344</v>
      </c>
      <c r="Y352" s="3">
        <v>26.352441779999999</v>
      </c>
    </row>
    <row r="353" spans="17:25" x14ac:dyDescent="0.25">
      <c r="Q353" s="3" t="s">
        <v>1469</v>
      </c>
      <c r="R353" s="3" t="s">
        <v>1600</v>
      </c>
      <c r="S353" s="3" t="s">
        <v>1724</v>
      </c>
      <c r="T353" s="3"/>
      <c r="U353" s="3"/>
      <c r="V353" s="3"/>
      <c r="W353" s="3">
        <v>1161789.23</v>
      </c>
      <c r="X353" s="3"/>
      <c r="Y353" s="3"/>
    </row>
    <row r="354" spans="17:25" x14ac:dyDescent="0.25">
      <c r="Q354" s="3" t="s">
        <v>701</v>
      </c>
      <c r="R354" s="3" t="s">
        <v>702</v>
      </c>
      <c r="S354" s="3" t="s">
        <v>681</v>
      </c>
      <c r="T354" s="3">
        <v>1100549.31</v>
      </c>
      <c r="U354" s="3">
        <v>17</v>
      </c>
      <c r="V354" s="3">
        <v>64738.194710000003</v>
      </c>
      <c r="W354" s="3">
        <v>1154542.0900000001</v>
      </c>
      <c r="X354" s="3"/>
      <c r="Y354" s="3"/>
    </row>
    <row r="355" spans="17:25" x14ac:dyDescent="0.25">
      <c r="Q355" s="3" t="s">
        <v>1470</v>
      </c>
      <c r="R355" s="3" t="s">
        <v>1601</v>
      </c>
      <c r="S355" s="3"/>
      <c r="T355" s="3"/>
      <c r="U355" s="3"/>
      <c r="V355" s="3"/>
      <c r="W355" s="3">
        <v>1151817.92</v>
      </c>
      <c r="X355" s="3">
        <v>167</v>
      </c>
      <c r="Y355" s="3">
        <v>6897.1132930000003</v>
      </c>
    </row>
    <row r="356" spans="17:25" x14ac:dyDescent="0.25">
      <c r="Q356" s="3" t="s">
        <v>703</v>
      </c>
      <c r="R356" s="3" t="s">
        <v>704</v>
      </c>
      <c r="S356" s="3" t="s">
        <v>705</v>
      </c>
      <c r="T356" s="3">
        <v>1177881.47</v>
      </c>
      <c r="U356" s="3">
        <v>90</v>
      </c>
      <c r="V356" s="3">
        <v>13087.571889999999</v>
      </c>
      <c r="W356" s="3">
        <v>1129177.6599999999</v>
      </c>
      <c r="X356" s="3">
        <v>68</v>
      </c>
      <c r="Y356" s="3">
        <v>16605.553820000001</v>
      </c>
    </row>
    <row r="357" spans="17:25" x14ac:dyDescent="0.25">
      <c r="Q357" s="3" t="s">
        <v>1352</v>
      </c>
      <c r="R357" s="3" t="s">
        <v>1602</v>
      </c>
      <c r="S357" s="3" t="s">
        <v>1659</v>
      </c>
      <c r="T357" s="3">
        <v>19759.689999999999</v>
      </c>
      <c r="U357" s="3">
        <v>49</v>
      </c>
      <c r="V357" s="3">
        <v>403.25897959999998</v>
      </c>
      <c r="W357" s="3">
        <v>1127418.1599999999</v>
      </c>
      <c r="X357" s="3">
        <v>4543</v>
      </c>
      <c r="Y357" s="3">
        <v>248.1660048</v>
      </c>
    </row>
    <row r="358" spans="17:25" x14ac:dyDescent="0.25">
      <c r="Q358" s="3" t="s">
        <v>706</v>
      </c>
      <c r="R358" s="3" t="s">
        <v>707</v>
      </c>
      <c r="S358" s="3" t="s">
        <v>708</v>
      </c>
      <c r="T358" s="3">
        <v>985021.68</v>
      </c>
      <c r="U358" s="3">
        <v>5667</v>
      </c>
      <c r="V358" s="3">
        <v>173.8171308</v>
      </c>
      <c r="W358" s="3">
        <v>1117690.95</v>
      </c>
      <c r="X358" s="3">
        <v>6385</v>
      </c>
      <c r="Y358" s="3">
        <v>175.0494832</v>
      </c>
    </row>
    <row r="359" spans="17:25" x14ac:dyDescent="0.25">
      <c r="Q359" s="3" t="s">
        <v>1471</v>
      </c>
      <c r="R359" s="3" t="s">
        <v>1603</v>
      </c>
      <c r="S359" s="3" t="s">
        <v>1725</v>
      </c>
      <c r="T359" s="3"/>
      <c r="U359" s="3"/>
      <c r="V359" s="3"/>
      <c r="W359" s="3">
        <v>1076315.73</v>
      </c>
      <c r="X359" s="3">
        <v>210</v>
      </c>
      <c r="Y359" s="3">
        <v>5125.3130000000001</v>
      </c>
    </row>
    <row r="360" spans="17:25" x14ac:dyDescent="0.25">
      <c r="Q360" s="3" t="s">
        <v>709</v>
      </c>
      <c r="R360" s="3" t="s">
        <v>716</v>
      </c>
      <c r="S360" s="3" t="s">
        <v>724</v>
      </c>
      <c r="T360" s="3">
        <v>1521606.43</v>
      </c>
      <c r="U360" s="3">
        <v>39468</v>
      </c>
      <c r="V360" s="3">
        <v>38.552914510000001</v>
      </c>
      <c r="W360" s="3">
        <v>959172.04</v>
      </c>
      <c r="X360" s="3">
        <v>33410</v>
      </c>
      <c r="Y360" s="3">
        <v>28.709130200000001</v>
      </c>
    </row>
    <row r="361" spans="17:25" x14ac:dyDescent="0.25">
      <c r="Q361" s="3" t="s">
        <v>710</v>
      </c>
      <c r="R361" s="3" t="s">
        <v>717</v>
      </c>
      <c r="S361" s="3" t="s">
        <v>277</v>
      </c>
      <c r="T361" s="3">
        <v>3069119.89</v>
      </c>
      <c r="U361" s="3">
        <v>2989</v>
      </c>
      <c r="V361" s="3">
        <v>1026.8049149999999</v>
      </c>
      <c r="W361" s="3">
        <v>954255.51</v>
      </c>
      <c r="X361" s="3">
        <v>2802</v>
      </c>
      <c r="Y361" s="3">
        <v>340.56228049999999</v>
      </c>
    </row>
    <row r="362" spans="17:25" x14ac:dyDescent="0.25">
      <c r="Q362" s="3" t="s">
        <v>711</v>
      </c>
      <c r="R362" s="3" t="s">
        <v>718</v>
      </c>
      <c r="S362" s="3" t="s">
        <v>718</v>
      </c>
      <c r="T362" s="3">
        <v>773083.79</v>
      </c>
      <c r="U362" s="3">
        <v>44185</v>
      </c>
      <c r="V362" s="3">
        <v>17.496521220000002</v>
      </c>
      <c r="W362" s="3">
        <v>951896.97</v>
      </c>
      <c r="X362" s="3">
        <v>50572</v>
      </c>
      <c r="Y362" s="3">
        <v>18.822608760000001</v>
      </c>
    </row>
    <row r="363" spans="17:25" x14ac:dyDescent="0.25">
      <c r="Q363" s="3" t="s">
        <v>712</v>
      </c>
      <c r="R363" s="3" t="s">
        <v>719</v>
      </c>
      <c r="S363" s="3" t="s">
        <v>719</v>
      </c>
      <c r="T363" s="3">
        <v>596560.81999999995</v>
      </c>
      <c r="U363" s="3">
        <v>295</v>
      </c>
      <c r="V363" s="3">
        <v>2022.2400680000001</v>
      </c>
      <c r="W363" s="3">
        <v>936728.97</v>
      </c>
      <c r="X363" s="3">
        <v>359</v>
      </c>
      <c r="Y363" s="3">
        <v>2609.2728969999998</v>
      </c>
    </row>
    <row r="364" spans="17:25" x14ac:dyDescent="0.25">
      <c r="Q364" s="3" t="s">
        <v>713</v>
      </c>
      <c r="R364" s="3" t="s">
        <v>720</v>
      </c>
      <c r="S364" s="3" t="s">
        <v>725</v>
      </c>
      <c r="T364" s="3">
        <v>1439524.53</v>
      </c>
      <c r="U364" s="3">
        <v>471</v>
      </c>
      <c r="V364" s="3">
        <v>3056.3153499999999</v>
      </c>
      <c r="W364" s="3">
        <v>929417.37</v>
      </c>
      <c r="X364" s="3">
        <v>363</v>
      </c>
      <c r="Y364" s="3">
        <v>2560.3784300000002</v>
      </c>
    </row>
    <row r="365" spans="17:25" x14ac:dyDescent="0.25">
      <c r="Q365" s="3" t="s">
        <v>714</v>
      </c>
      <c r="R365" s="3" t="s">
        <v>721</v>
      </c>
      <c r="S365" s="3" t="s">
        <v>726</v>
      </c>
      <c r="T365" s="3">
        <v>2061660.85</v>
      </c>
      <c r="U365" s="3">
        <v>110</v>
      </c>
      <c r="V365" s="3">
        <v>18742.371360000001</v>
      </c>
      <c r="W365" s="3">
        <v>917156.33</v>
      </c>
      <c r="X365" s="3">
        <v>109</v>
      </c>
      <c r="Y365" s="3">
        <v>8414.2782569999999</v>
      </c>
    </row>
    <row r="366" spans="17:25" x14ac:dyDescent="0.25">
      <c r="Q366" s="3" t="s">
        <v>715</v>
      </c>
      <c r="R366" s="3" t="s">
        <v>722</v>
      </c>
      <c r="S366" s="3" t="s">
        <v>727</v>
      </c>
      <c r="T366" s="3">
        <v>1382768.45</v>
      </c>
      <c r="U366" s="3">
        <v>33</v>
      </c>
      <c r="V366" s="3">
        <v>41902.074240000002</v>
      </c>
      <c r="W366" s="3">
        <v>878178.09</v>
      </c>
      <c r="X366" s="3">
        <v>20</v>
      </c>
      <c r="Y366" s="3">
        <v>43908.904499999997</v>
      </c>
    </row>
    <row r="367" spans="17:25" x14ac:dyDescent="0.25">
      <c r="Q367" s="3">
        <v>90376</v>
      </c>
      <c r="R367" s="3" t="s">
        <v>723</v>
      </c>
      <c r="S367" s="3" t="s">
        <v>728</v>
      </c>
      <c r="T367" s="3">
        <v>1874211.25</v>
      </c>
      <c r="U367" s="3">
        <v>696</v>
      </c>
      <c r="V367" s="3">
        <v>2692.8322560000001</v>
      </c>
      <c r="W367" s="3">
        <v>871343.32</v>
      </c>
      <c r="X367" s="3">
        <v>329</v>
      </c>
      <c r="Y367" s="3">
        <v>2648.4599389999998</v>
      </c>
    </row>
    <row r="368" spans="17:25" x14ac:dyDescent="0.25">
      <c r="Q368" s="3" t="s">
        <v>1472</v>
      </c>
      <c r="R368" s="3" t="s">
        <v>1604</v>
      </c>
      <c r="S368" s="3" t="s">
        <v>1726</v>
      </c>
      <c r="T368" s="3"/>
      <c r="U368" s="3"/>
      <c r="V368" s="3"/>
      <c r="W368" s="3">
        <v>859764.07</v>
      </c>
      <c r="X368" s="3">
        <v>41</v>
      </c>
      <c r="Y368" s="3">
        <v>20969.855370000001</v>
      </c>
    </row>
    <row r="369" spans="17:25" x14ac:dyDescent="0.25">
      <c r="Q369" s="3" t="s">
        <v>729</v>
      </c>
      <c r="R369" s="3" t="s">
        <v>731</v>
      </c>
      <c r="S369" s="3" t="s">
        <v>733</v>
      </c>
      <c r="T369" s="3">
        <v>2206235.4500000002</v>
      </c>
      <c r="U369" s="3">
        <v>49</v>
      </c>
      <c r="V369" s="3">
        <v>45025.21327</v>
      </c>
      <c r="W369" s="3">
        <v>855046.83</v>
      </c>
      <c r="X369" s="3">
        <v>17</v>
      </c>
      <c r="Y369" s="3">
        <v>50296.872349999998</v>
      </c>
    </row>
    <row r="370" spans="17:25" x14ac:dyDescent="0.25">
      <c r="Q370" s="3" t="s">
        <v>730</v>
      </c>
      <c r="R370" s="3" t="s">
        <v>732</v>
      </c>
      <c r="S370" s="3" t="s">
        <v>732</v>
      </c>
      <c r="T370" s="3">
        <v>1372833.62</v>
      </c>
      <c r="U370" s="3">
        <v>501387</v>
      </c>
      <c r="V370" s="3">
        <v>2.7380718289999999</v>
      </c>
      <c r="W370" s="3">
        <v>842942.35</v>
      </c>
      <c r="X370" s="3">
        <v>392893</v>
      </c>
      <c r="Y370" s="3">
        <v>2.1454756129999999</v>
      </c>
    </row>
    <row r="371" spans="17:25" x14ac:dyDescent="0.25">
      <c r="Q371" s="3" t="s">
        <v>1473</v>
      </c>
      <c r="R371" s="3" t="s">
        <v>1605</v>
      </c>
      <c r="S371" s="3" t="s">
        <v>1727</v>
      </c>
      <c r="T371" s="3"/>
      <c r="U371" s="3"/>
      <c r="V371" s="3"/>
      <c r="W371" s="3">
        <v>796228.12</v>
      </c>
      <c r="X371" s="3">
        <v>434</v>
      </c>
      <c r="Y371" s="3">
        <v>1834.6270050000001</v>
      </c>
    </row>
    <row r="372" spans="17:25" x14ac:dyDescent="0.25">
      <c r="Q372" s="3" t="s">
        <v>734</v>
      </c>
      <c r="R372" s="3" t="s">
        <v>735</v>
      </c>
      <c r="S372" s="3" t="s">
        <v>736</v>
      </c>
      <c r="T372" s="3">
        <v>940721.64</v>
      </c>
      <c r="U372" s="3">
        <v>6687</v>
      </c>
      <c r="V372" s="3">
        <v>140.67917449999999</v>
      </c>
      <c r="W372" s="3">
        <v>767149.04</v>
      </c>
      <c r="X372" s="3">
        <v>5007</v>
      </c>
      <c r="Y372" s="3">
        <v>153.21530659999999</v>
      </c>
    </row>
    <row r="373" spans="17:25" x14ac:dyDescent="0.25">
      <c r="Q373" s="3" t="s">
        <v>1474</v>
      </c>
      <c r="R373" s="3" t="s">
        <v>1606</v>
      </c>
      <c r="S373" s="3" t="s">
        <v>1728</v>
      </c>
      <c r="T373" s="3"/>
      <c r="U373" s="3"/>
      <c r="V373" s="3"/>
      <c r="W373" s="3">
        <v>767070.1</v>
      </c>
      <c r="X373" s="3"/>
      <c r="Y373" s="3"/>
    </row>
    <row r="374" spans="17:25" x14ac:dyDescent="0.25">
      <c r="Q374" s="3" t="s">
        <v>737</v>
      </c>
      <c r="R374" s="3" t="s">
        <v>739</v>
      </c>
      <c r="S374" s="3" t="s">
        <v>741</v>
      </c>
      <c r="T374" s="3">
        <v>10919480.32</v>
      </c>
      <c r="U374" s="3">
        <v>266</v>
      </c>
      <c r="V374" s="3">
        <v>41050.677900000002</v>
      </c>
      <c r="W374" s="3">
        <v>762979.76</v>
      </c>
      <c r="X374" s="3">
        <v>40</v>
      </c>
      <c r="Y374" s="3">
        <v>19074.493999999999</v>
      </c>
    </row>
    <row r="375" spans="17:25" x14ac:dyDescent="0.25">
      <c r="Q375" s="3" t="s">
        <v>738</v>
      </c>
      <c r="R375" s="3" t="s">
        <v>740</v>
      </c>
      <c r="S375" s="3" t="s">
        <v>742</v>
      </c>
      <c r="T375" s="3">
        <v>624546.75</v>
      </c>
      <c r="U375" s="3">
        <v>85421</v>
      </c>
      <c r="V375" s="3">
        <v>7.3113959099999999</v>
      </c>
      <c r="W375" s="3">
        <v>762102.35</v>
      </c>
      <c r="X375" s="3">
        <v>82288</v>
      </c>
      <c r="Y375" s="3">
        <v>9.2614032420000001</v>
      </c>
    </row>
    <row r="376" spans="17:25" x14ac:dyDescent="0.25">
      <c r="Q376" s="3" t="s">
        <v>1475</v>
      </c>
      <c r="R376" s="3" t="s">
        <v>1607</v>
      </c>
      <c r="S376" s="3" t="s">
        <v>1729</v>
      </c>
      <c r="T376" s="3"/>
      <c r="U376" s="3"/>
      <c r="V376" s="3"/>
      <c r="W376" s="3">
        <v>748627.44</v>
      </c>
      <c r="X376" s="3">
        <v>14</v>
      </c>
      <c r="Y376" s="3">
        <v>53473.388570000003</v>
      </c>
    </row>
    <row r="377" spans="17:25" x14ac:dyDescent="0.25">
      <c r="Q377" s="3" t="s">
        <v>743</v>
      </c>
      <c r="R377" s="3" t="s">
        <v>745</v>
      </c>
      <c r="S377" s="3" t="s">
        <v>194</v>
      </c>
      <c r="T377" s="3">
        <v>888939.19</v>
      </c>
      <c r="U377" s="3">
        <v>1126</v>
      </c>
      <c r="V377" s="3">
        <v>789.46642099999997</v>
      </c>
      <c r="W377" s="3">
        <v>723714.17</v>
      </c>
      <c r="X377" s="3">
        <v>892</v>
      </c>
      <c r="Y377" s="3">
        <v>811.33875560000001</v>
      </c>
    </row>
    <row r="378" spans="17:25" x14ac:dyDescent="0.25">
      <c r="Q378" s="3" t="s">
        <v>744</v>
      </c>
      <c r="R378" s="3" t="s">
        <v>746</v>
      </c>
      <c r="S378" s="3" t="s">
        <v>747</v>
      </c>
      <c r="T378" s="3">
        <v>1008401.67</v>
      </c>
      <c r="U378" s="3">
        <v>35</v>
      </c>
      <c r="V378" s="3">
        <v>28811.476289999999</v>
      </c>
      <c r="W378" s="3">
        <v>719893.08</v>
      </c>
      <c r="X378" s="3">
        <v>24</v>
      </c>
      <c r="Y378" s="3">
        <v>29995.544999999998</v>
      </c>
    </row>
    <row r="379" spans="17:25" x14ac:dyDescent="0.25">
      <c r="Q379" s="3" t="s">
        <v>1476</v>
      </c>
      <c r="R379" s="3" t="s">
        <v>1608</v>
      </c>
      <c r="S379" s="3" t="s">
        <v>1730</v>
      </c>
      <c r="T379" s="3"/>
      <c r="U379" s="3"/>
      <c r="V379" s="3"/>
      <c r="W379" s="3">
        <v>698773.45</v>
      </c>
      <c r="X379" s="3">
        <v>13</v>
      </c>
      <c r="Y379" s="3">
        <v>53751.803849999997</v>
      </c>
    </row>
    <row r="380" spans="17:25" x14ac:dyDescent="0.25">
      <c r="Q380" s="3" t="s">
        <v>748</v>
      </c>
      <c r="R380" s="3" t="s">
        <v>749</v>
      </c>
      <c r="S380" s="3" t="s">
        <v>749</v>
      </c>
      <c r="T380" s="3">
        <v>1238577.48</v>
      </c>
      <c r="U380" s="3">
        <v>488</v>
      </c>
      <c r="V380" s="3">
        <v>2538.0686070000002</v>
      </c>
      <c r="W380" s="3">
        <v>695012.16</v>
      </c>
      <c r="X380" s="3">
        <v>351</v>
      </c>
      <c r="Y380" s="3">
        <v>1980.0916239999999</v>
      </c>
    </row>
    <row r="381" spans="17:25" x14ac:dyDescent="0.25">
      <c r="Q381" s="3" t="s">
        <v>1477</v>
      </c>
      <c r="R381" s="3" t="s">
        <v>1609</v>
      </c>
      <c r="S381" s="3" t="s">
        <v>1731</v>
      </c>
      <c r="T381" s="3">
        <v>68995.199999999997</v>
      </c>
      <c r="U381" s="3">
        <v>28</v>
      </c>
      <c r="V381" s="3">
        <v>2464.114286</v>
      </c>
      <c r="W381" s="3">
        <v>692703.79</v>
      </c>
      <c r="X381" s="3">
        <v>164</v>
      </c>
      <c r="Y381" s="3">
        <v>4223.8035980000004</v>
      </c>
    </row>
    <row r="382" spans="17:25" x14ac:dyDescent="0.25">
      <c r="Q382" s="3" t="s">
        <v>750</v>
      </c>
      <c r="R382" s="3" t="s">
        <v>751</v>
      </c>
      <c r="S382" s="3" t="s">
        <v>395</v>
      </c>
      <c r="T382" s="3">
        <v>1308786.75</v>
      </c>
      <c r="U382" s="3">
        <v>120951</v>
      </c>
      <c r="V382" s="3">
        <v>10.820801400000001</v>
      </c>
      <c r="W382" s="3">
        <v>683929.23</v>
      </c>
      <c r="X382" s="3">
        <v>85303</v>
      </c>
      <c r="Y382" s="3">
        <v>8.0176456869999999</v>
      </c>
    </row>
    <row r="383" spans="17:25" x14ac:dyDescent="0.25">
      <c r="Q383" s="3" t="s">
        <v>1478</v>
      </c>
      <c r="R383" s="3" t="s">
        <v>1610</v>
      </c>
      <c r="S383" s="3" t="s">
        <v>1731</v>
      </c>
      <c r="T383" s="3">
        <v>107351.01</v>
      </c>
      <c r="U383" s="3">
        <v>27</v>
      </c>
      <c r="V383" s="3">
        <v>3975.9633330000001</v>
      </c>
      <c r="W383" s="3">
        <v>667612.32999999996</v>
      </c>
      <c r="X383" s="3">
        <v>88</v>
      </c>
      <c r="Y383" s="3">
        <v>7586.5037499999999</v>
      </c>
    </row>
    <row r="384" spans="17:25" x14ac:dyDescent="0.25">
      <c r="Q384" s="3" t="s">
        <v>752</v>
      </c>
      <c r="R384" s="3" t="s">
        <v>758</v>
      </c>
      <c r="S384" s="3" t="s">
        <v>758</v>
      </c>
      <c r="T384" s="3">
        <v>168013.78</v>
      </c>
      <c r="U384" s="3">
        <v>46970</v>
      </c>
      <c r="V384" s="3">
        <v>3.5770444970000002</v>
      </c>
      <c r="W384" s="3">
        <v>644743.26</v>
      </c>
      <c r="X384" s="3">
        <v>39040</v>
      </c>
      <c r="Y384" s="3">
        <v>16.514940060000001</v>
      </c>
    </row>
    <row r="385" spans="17:25" x14ac:dyDescent="0.25">
      <c r="Q385" s="3" t="s">
        <v>753</v>
      </c>
      <c r="R385" s="3" t="s">
        <v>759</v>
      </c>
      <c r="S385" s="3" t="s">
        <v>764</v>
      </c>
      <c r="T385" s="3">
        <v>594410.1</v>
      </c>
      <c r="U385" s="3">
        <v>12554</v>
      </c>
      <c r="V385" s="3">
        <v>47.348263500000002</v>
      </c>
      <c r="W385" s="3">
        <v>642328.11</v>
      </c>
      <c r="X385" s="3">
        <v>10837</v>
      </c>
      <c r="Y385" s="3">
        <v>59.271764330000003</v>
      </c>
    </row>
    <row r="386" spans="17:25" x14ac:dyDescent="0.25">
      <c r="Q386" s="3" t="s">
        <v>754</v>
      </c>
      <c r="R386" s="3" t="s">
        <v>760</v>
      </c>
      <c r="S386" s="3" t="s">
        <v>765</v>
      </c>
      <c r="T386" s="3">
        <v>863811.01</v>
      </c>
      <c r="U386" s="3">
        <v>79</v>
      </c>
      <c r="V386" s="3">
        <v>10934.316580000001</v>
      </c>
      <c r="W386" s="3">
        <v>618017.87</v>
      </c>
      <c r="X386" s="3">
        <v>64</v>
      </c>
      <c r="Y386" s="3">
        <v>9656.529219</v>
      </c>
    </row>
    <row r="387" spans="17:25" x14ac:dyDescent="0.25">
      <c r="Q387" s="3" t="s">
        <v>755</v>
      </c>
      <c r="R387" s="3" t="s">
        <v>761</v>
      </c>
      <c r="S387" s="3" t="s">
        <v>761</v>
      </c>
      <c r="T387" s="3">
        <v>998796.32</v>
      </c>
      <c r="U387" s="3">
        <v>43317</v>
      </c>
      <c r="V387" s="3">
        <v>23.05783688</v>
      </c>
      <c r="W387" s="3">
        <v>603075.92000000004</v>
      </c>
      <c r="X387" s="3">
        <v>19068</v>
      </c>
      <c r="Y387" s="3">
        <v>31.627644220000001</v>
      </c>
    </row>
    <row r="388" spans="17:25" x14ac:dyDescent="0.25">
      <c r="Q388" s="3" t="s">
        <v>756</v>
      </c>
      <c r="R388" s="3" t="s">
        <v>762</v>
      </c>
      <c r="S388" s="3" t="s">
        <v>762</v>
      </c>
      <c r="T388" s="3">
        <v>1086869.29</v>
      </c>
      <c r="U388" s="3">
        <v>325</v>
      </c>
      <c r="V388" s="3">
        <v>3344.2132000000001</v>
      </c>
      <c r="W388" s="3">
        <v>598555.65</v>
      </c>
      <c r="X388" s="3">
        <v>267</v>
      </c>
      <c r="Y388" s="3">
        <v>2241.781461</v>
      </c>
    </row>
    <row r="389" spans="17:25" x14ac:dyDescent="0.25">
      <c r="Q389" s="3" t="s">
        <v>757</v>
      </c>
      <c r="R389" s="3" t="s">
        <v>763</v>
      </c>
      <c r="S389" s="3" t="s">
        <v>766</v>
      </c>
      <c r="T389" s="3">
        <v>800832.6</v>
      </c>
      <c r="U389" s="3">
        <v>83</v>
      </c>
      <c r="V389" s="3">
        <v>9648.5855420000007</v>
      </c>
      <c r="W389" s="3">
        <v>597889.12</v>
      </c>
      <c r="X389" s="3">
        <v>54</v>
      </c>
      <c r="Y389" s="3">
        <v>11072.02074</v>
      </c>
    </row>
    <row r="390" spans="17:25" x14ac:dyDescent="0.25">
      <c r="Q390" s="3" t="s">
        <v>1479</v>
      </c>
      <c r="R390" s="3" t="s">
        <v>1611</v>
      </c>
      <c r="S390" s="3" t="s">
        <v>1732</v>
      </c>
      <c r="T390" s="3"/>
      <c r="U390" s="3"/>
      <c r="V390" s="3"/>
      <c r="W390" s="3">
        <v>587908.94999999995</v>
      </c>
      <c r="X390" s="3">
        <v>192</v>
      </c>
      <c r="Y390" s="3">
        <v>3062.0257809999998</v>
      </c>
    </row>
    <row r="391" spans="17:25" x14ac:dyDescent="0.25">
      <c r="Q391" s="3" t="s">
        <v>767</v>
      </c>
      <c r="R391" s="3" t="s">
        <v>788</v>
      </c>
      <c r="S391" s="3" t="s">
        <v>809</v>
      </c>
      <c r="T391" s="3">
        <v>861032.72</v>
      </c>
      <c r="U391" s="3">
        <v>2852</v>
      </c>
      <c r="V391" s="3">
        <v>301.9048808</v>
      </c>
      <c r="W391" s="3">
        <v>573116.12</v>
      </c>
      <c r="X391" s="3">
        <v>2196</v>
      </c>
      <c r="Y391" s="3">
        <v>260.98183970000002</v>
      </c>
    </row>
    <row r="392" spans="17:25" x14ac:dyDescent="0.25">
      <c r="Q392" s="3" t="s">
        <v>768</v>
      </c>
      <c r="R392" s="3" t="s">
        <v>789</v>
      </c>
      <c r="S392" s="3" t="s">
        <v>810</v>
      </c>
      <c r="T392" s="3">
        <v>771011.7</v>
      </c>
      <c r="U392" s="3">
        <v>416</v>
      </c>
      <c r="V392" s="3">
        <v>1853.3935100000001</v>
      </c>
      <c r="W392" s="3">
        <v>571773.80000000005</v>
      </c>
      <c r="X392" s="3">
        <v>342</v>
      </c>
      <c r="Y392" s="3">
        <v>1671.853216</v>
      </c>
    </row>
    <row r="393" spans="17:25" x14ac:dyDescent="0.25">
      <c r="Q393" s="3" t="s">
        <v>769</v>
      </c>
      <c r="R393" s="3" t="s">
        <v>790</v>
      </c>
      <c r="S393" s="3" t="s">
        <v>811</v>
      </c>
      <c r="T393" s="3">
        <v>337726.32</v>
      </c>
      <c r="U393" s="3"/>
      <c r="V393" s="3"/>
      <c r="W393" s="3">
        <v>563198.97</v>
      </c>
      <c r="X393" s="3">
        <v>15</v>
      </c>
      <c r="Y393" s="3">
        <v>37546.597999999998</v>
      </c>
    </row>
    <row r="394" spans="17:25" x14ac:dyDescent="0.25">
      <c r="Q394" s="3" t="s">
        <v>770</v>
      </c>
      <c r="R394" s="3" t="s">
        <v>791</v>
      </c>
      <c r="S394" s="3" t="s">
        <v>812</v>
      </c>
      <c r="T394" s="3">
        <v>789696.96</v>
      </c>
      <c r="U394" s="3">
        <v>8089</v>
      </c>
      <c r="V394" s="3">
        <v>97.626030409999998</v>
      </c>
      <c r="W394" s="3">
        <v>527192.27</v>
      </c>
      <c r="X394" s="3">
        <v>6424</v>
      </c>
      <c r="Y394" s="3">
        <v>82.066044520000005</v>
      </c>
    </row>
    <row r="395" spans="17:25" x14ac:dyDescent="0.25">
      <c r="Q395" s="3" t="s">
        <v>771</v>
      </c>
      <c r="R395" s="3" t="s">
        <v>792</v>
      </c>
      <c r="S395" s="3" t="s">
        <v>792</v>
      </c>
      <c r="T395" s="3">
        <v>399643.05</v>
      </c>
      <c r="U395" s="3">
        <v>56913</v>
      </c>
      <c r="V395" s="3">
        <v>7.0219993680000004</v>
      </c>
      <c r="W395" s="3">
        <v>523894.99</v>
      </c>
      <c r="X395" s="3">
        <v>58111</v>
      </c>
      <c r="Y395" s="3">
        <v>9.015418596</v>
      </c>
    </row>
    <row r="396" spans="17:25" x14ac:dyDescent="0.25">
      <c r="Q396" s="3" t="s">
        <v>772</v>
      </c>
      <c r="R396" s="3" t="s">
        <v>793</v>
      </c>
      <c r="S396" s="3" t="s">
        <v>813</v>
      </c>
      <c r="T396" s="3">
        <v>815484.93</v>
      </c>
      <c r="U396" s="3">
        <v>6006</v>
      </c>
      <c r="V396" s="3">
        <v>135.7783766</v>
      </c>
      <c r="W396" s="3">
        <v>520505.23</v>
      </c>
      <c r="X396" s="3">
        <v>4604</v>
      </c>
      <c r="Y396" s="3">
        <v>113.0550022</v>
      </c>
    </row>
    <row r="397" spans="17:25" x14ac:dyDescent="0.25">
      <c r="Q397" s="3" t="s">
        <v>773</v>
      </c>
      <c r="R397" s="3" t="s">
        <v>794</v>
      </c>
      <c r="S397" s="3" t="s">
        <v>674</v>
      </c>
      <c r="T397" s="3">
        <v>618904.94999999995</v>
      </c>
      <c r="U397" s="3">
        <v>45898</v>
      </c>
      <c r="V397" s="3">
        <v>13.48435553</v>
      </c>
      <c r="W397" s="3">
        <v>510526.06</v>
      </c>
      <c r="X397" s="3">
        <v>38603</v>
      </c>
      <c r="Y397" s="3">
        <v>13.22503588</v>
      </c>
    </row>
    <row r="398" spans="17:25" x14ac:dyDescent="0.25">
      <c r="Q398" s="3" t="s">
        <v>774</v>
      </c>
      <c r="R398" s="3" t="s">
        <v>795</v>
      </c>
      <c r="S398" s="3" t="s">
        <v>814</v>
      </c>
      <c r="T398" s="3">
        <v>326463.64</v>
      </c>
      <c r="U398" s="3">
        <v>409</v>
      </c>
      <c r="V398" s="3">
        <v>798.19960879999996</v>
      </c>
      <c r="W398" s="3">
        <v>504301.41</v>
      </c>
      <c r="X398" s="3">
        <v>327</v>
      </c>
      <c r="Y398" s="3">
        <v>1542.2061470000001</v>
      </c>
    </row>
    <row r="399" spans="17:25" x14ac:dyDescent="0.25">
      <c r="Q399" s="3" t="s">
        <v>775</v>
      </c>
      <c r="R399" s="3" t="s">
        <v>796</v>
      </c>
      <c r="S399" s="3" t="s">
        <v>815</v>
      </c>
      <c r="T399" s="3">
        <v>371653.61</v>
      </c>
      <c r="U399" s="3">
        <v>3852</v>
      </c>
      <c r="V399" s="3">
        <v>96.483284010000006</v>
      </c>
      <c r="W399" s="3">
        <v>485073.72</v>
      </c>
      <c r="X399" s="3">
        <v>5707</v>
      </c>
      <c r="Y399" s="3">
        <v>84.996271250000007</v>
      </c>
    </row>
    <row r="400" spans="17:25" x14ac:dyDescent="0.25">
      <c r="Q400" s="3" t="s">
        <v>776</v>
      </c>
      <c r="R400" s="3" t="s">
        <v>797</v>
      </c>
      <c r="S400" s="3" t="s">
        <v>816</v>
      </c>
      <c r="T400" s="3">
        <v>523010.74</v>
      </c>
      <c r="U400" s="3">
        <v>5265</v>
      </c>
      <c r="V400" s="3">
        <v>99.337272560000002</v>
      </c>
      <c r="W400" s="3">
        <v>484209.39</v>
      </c>
      <c r="X400" s="3">
        <v>4348</v>
      </c>
      <c r="Y400" s="3">
        <v>111.3637052</v>
      </c>
    </row>
    <row r="401" spans="17:25" x14ac:dyDescent="0.25">
      <c r="Q401" s="3" t="s">
        <v>777</v>
      </c>
      <c r="R401" s="3" t="s">
        <v>798</v>
      </c>
      <c r="S401" s="3" t="s">
        <v>817</v>
      </c>
      <c r="T401" s="3">
        <v>875738.92</v>
      </c>
      <c r="U401" s="3">
        <v>68</v>
      </c>
      <c r="V401" s="3">
        <v>12878.51353</v>
      </c>
      <c r="W401" s="3">
        <v>483236.21</v>
      </c>
      <c r="X401" s="3">
        <v>30</v>
      </c>
      <c r="Y401" s="3">
        <v>16107.873670000001</v>
      </c>
    </row>
    <row r="402" spans="17:25" x14ac:dyDescent="0.25">
      <c r="Q402" s="3" t="s">
        <v>778</v>
      </c>
      <c r="R402" s="3" t="s">
        <v>799</v>
      </c>
      <c r="S402" s="3" t="s">
        <v>818</v>
      </c>
      <c r="T402" s="3">
        <v>732397.32</v>
      </c>
      <c r="U402" s="3">
        <v>661</v>
      </c>
      <c r="V402" s="3">
        <v>1108.0141000000001</v>
      </c>
      <c r="W402" s="3">
        <v>474879.81</v>
      </c>
      <c r="X402" s="3">
        <v>250</v>
      </c>
      <c r="Y402" s="3">
        <v>1899.5192400000001</v>
      </c>
    </row>
    <row r="403" spans="17:25" x14ac:dyDescent="0.25">
      <c r="Q403" s="3" t="s">
        <v>779</v>
      </c>
      <c r="R403" s="3" t="s">
        <v>800</v>
      </c>
      <c r="S403" s="3" t="s">
        <v>800</v>
      </c>
      <c r="T403" s="3">
        <v>343134.09</v>
      </c>
      <c r="U403" s="3">
        <v>124489</v>
      </c>
      <c r="V403" s="3">
        <v>2.756340641</v>
      </c>
      <c r="W403" s="3">
        <v>469167.35999999999</v>
      </c>
      <c r="X403" s="3">
        <v>104798</v>
      </c>
      <c r="Y403" s="3">
        <v>4.4768732230000001</v>
      </c>
    </row>
    <row r="404" spans="17:25" x14ac:dyDescent="0.25">
      <c r="Q404" s="3" t="s">
        <v>780</v>
      </c>
      <c r="R404" s="3" t="s">
        <v>801</v>
      </c>
      <c r="S404" s="3" t="s">
        <v>371</v>
      </c>
      <c r="T404" s="3">
        <v>849522.01</v>
      </c>
      <c r="U404" s="3">
        <v>1294</v>
      </c>
      <c r="V404" s="3">
        <v>656.50850849999995</v>
      </c>
      <c r="W404" s="3">
        <v>464046.88</v>
      </c>
      <c r="X404" s="3">
        <v>760</v>
      </c>
      <c r="Y404" s="3">
        <v>610.58799999999997</v>
      </c>
    </row>
    <row r="405" spans="17:25" x14ac:dyDescent="0.25">
      <c r="Q405" s="3" t="s">
        <v>781</v>
      </c>
      <c r="R405" s="3" t="s">
        <v>802</v>
      </c>
      <c r="S405" s="3" t="s">
        <v>802</v>
      </c>
      <c r="T405" s="3">
        <v>584542.54</v>
      </c>
      <c r="U405" s="3">
        <v>8837</v>
      </c>
      <c r="V405" s="3">
        <v>66.147169849999997</v>
      </c>
      <c r="W405" s="3">
        <v>461566.88</v>
      </c>
      <c r="X405" s="3">
        <v>7052</v>
      </c>
      <c r="Y405" s="3">
        <v>65.451911510000002</v>
      </c>
    </row>
    <row r="406" spans="17:25" x14ac:dyDescent="0.25">
      <c r="Q406" s="3" t="s">
        <v>782</v>
      </c>
      <c r="R406" s="3" t="s">
        <v>803</v>
      </c>
      <c r="S406" s="3" t="s">
        <v>340</v>
      </c>
      <c r="T406" s="3">
        <v>917886.16</v>
      </c>
      <c r="U406" s="3">
        <v>3389</v>
      </c>
      <c r="V406" s="3">
        <v>270.84277370000001</v>
      </c>
      <c r="W406" s="3">
        <v>460222.2</v>
      </c>
      <c r="X406" s="3">
        <v>3527</v>
      </c>
      <c r="Y406" s="3">
        <v>130.4854551</v>
      </c>
    </row>
    <row r="407" spans="17:25" x14ac:dyDescent="0.25">
      <c r="Q407" s="3" t="s">
        <v>783</v>
      </c>
      <c r="R407" s="3" t="s">
        <v>804</v>
      </c>
      <c r="S407" s="3" t="s">
        <v>819</v>
      </c>
      <c r="T407" s="3">
        <v>1933447.79</v>
      </c>
      <c r="U407" s="3">
        <v>4011</v>
      </c>
      <c r="V407" s="3">
        <v>482.03634749999998</v>
      </c>
      <c r="W407" s="3">
        <v>452921.63</v>
      </c>
      <c r="X407" s="3">
        <v>1665</v>
      </c>
      <c r="Y407" s="3">
        <v>272.02500300000003</v>
      </c>
    </row>
    <row r="408" spans="17:25" x14ac:dyDescent="0.25">
      <c r="Q408" s="3" t="s">
        <v>784</v>
      </c>
      <c r="R408" s="3" t="s">
        <v>805</v>
      </c>
      <c r="S408" s="3" t="s">
        <v>820</v>
      </c>
      <c r="T408" s="3">
        <v>733613.31</v>
      </c>
      <c r="U408" s="3"/>
      <c r="V408" s="3"/>
      <c r="W408" s="3">
        <v>445531.4</v>
      </c>
      <c r="X408" s="3"/>
      <c r="Y408" s="3"/>
    </row>
    <row r="409" spans="17:25" x14ac:dyDescent="0.25">
      <c r="Q409" s="3" t="s">
        <v>785</v>
      </c>
      <c r="R409" s="3" t="s">
        <v>806</v>
      </c>
      <c r="S409" s="3" t="s">
        <v>806</v>
      </c>
      <c r="T409" s="3">
        <v>470398.81</v>
      </c>
      <c r="U409" s="3">
        <v>337</v>
      </c>
      <c r="V409" s="3">
        <v>1395.8421659999999</v>
      </c>
      <c r="W409" s="3">
        <v>441253.74</v>
      </c>
      <c r="X409" s="3">
        <v>335</v>
      </c>
      <c r="Y409" s="3">
        <v>1317.1753430000001</v>
      </c>
    </row>
    <row r="410" spans="17:25" x14ac:dyDescent="0.25">
      <c r="Q410" s="3" t="s">
        <v>786</v>
      </c>
      <c r="R410" s="3" t="s">
        <v>807</v>
      </c>
      <c r="S410" s="3" t="s">
        <v>821</v>
      </c>
      <c r="T410" s="3">
        <v>5113259.68</v>
      </c>
      <c r="U410" s="3">
        <v>3474</v>
      </c>
      <c r="V410" s="3">
        <v>1471.8651930000001</v>
      </c>
      <c r="W410" s="3">
        <v>423811.57</v>
      </c>
      <c r="X410" s="3">
        <v>986</v>
      </c>
      <c r="Y410" s="3">
        <v>429.82917850000001</v>
      </c>
    </row>
    <row r="411" spans="17:25" x14ac:dyDescent="0.25">
      <c r="Q411" s="3" t="s">
        <v>787</v>
      </c>
      <c r="R411" s="3" t="s">
        <v>808</v>
      </c>
      <c r="S411" s="3" t="s">
        <v>822</v>
      </c>
      <c r="T411" s="3">
        <v>835456.91</v>
      </c>
      <c r="U411" s="3">
        <v>11809</v>
      </c>
      <c r="V411" s="3">
        <v>70.747473110000001</v>
      </c>
      <c r="W411" s="3">
        <v>413085.76</v>
      </c>
      <c r="X411" s="3">
        <v>6596</v>
      </c>
      <c r="Y411" s="3">
        <v>62.626707099999997</v>
      </c>
    </row>
    <row r="412" spans="17:25" x14ac:dyDescent="0.25">
      <c r="Q412" s="3" t="s">
        <v>1480</v>
      </c>
      <c r="R412" s="3" t="s">
        <v>1612</v>
      </c>
      <c r="S412" s="3" t="s">
        <v>1733</v>
      </c>
      <c r="T412" s="3"/>
      <c r="U412" s="3"/>
      <c r="V412" s="3"/>
      <c r="W412" s="3">
        <v>409090.24</v>
      </c>
      <c r="X412" s="3"/>
      <c r="Y412" s="3"/>
    </row>
    <row r="413" spans="17:25" x14ac:dyDescent="0.25">
      <c r="Q413" s="3" t="s">
        <v>1481</v>
      </c>
      <c r="R413" s="3" t="s">
        <v>1613</v>
      </c>
      <c r="S413" s="3" t="s">
        <v>1734</v>
      </c>
      <c r="T413" s="3"/>
      <c r="U413" s="3"/>
      <c r="V413" s="3"/>
      <c r="W413" s="3">
        <v>390550.39</v>
      </c>
      <c r="X413" s="3">
        <v>254</v>
      </c>
      <c r="Y413" s="3">
        <v>1537.5999609999999</v>
      </c>
    </row>
    <row r="414" spans="17:25" x14ac:dyDescent="0.25">
      <c r="Q414" s="3" t="s">
        <v>823</v>
      </c>
      <c r="R414" s="3" t="s">
        <v>833</v>
      </c>
      <c r="S414" s="3" t="s">
        <v>843</v>
      </c>
      <c r="T414" s="3">
        <v>627454.69999999995</v>
      </c>
      <c r="U414" s="3">
        <v>1156</v>
      </c>
      <c r="V414" s="3">
        <v>542.7808824</v>
      </c>
      <c r="W414" s="3">
        <v>388299.69</v>
      </c>
      <c r="X414" s="3">
        <v>727</v>
      </c>
      <c r="Y414" s="3">
        <v>534.11236589999999</v>
      </c>
    </row>
    <row r="415" spans="17:25" x14ac:dyDescent="0.25">
      <c r="Q415" s="3" t="s">
        <v>824</v>
      </c>
      <c r="R415" s="3" t="s">
        <v>834</v>
      </c>
      <c r="S415" s="3" t="s">
        <v>844</v>
      </c>
      <c r="T415" s="3">
        <v>472125.13</v>
      </c>
      <c r="U415" s="3">
        <v>11</v>
      </c>
      <c r="V415" s="3">
        <v>42920.466359999999</v>
      </c>
      <c r="W415" s="3">
        <v>373917.38</v>
      </c>
      <c r="X415" s="3"/>
      <c r="Y415" s="3"/>
    </row>
    <row r="416" spans="17:25" x14ac:dyDescent="0.25">
      <c r="Q416" s="3" t="s">
        <v>825</v>
      </c>
      <c r="R416" s="3" t="s">
        <v>835</v>
      </c>
      <c r="S416" s="3" t="s">
        <v>845</v>
      </c>
      <c r="T416" s="3">
        <v>282889.2</v>
      </c>
      <c r="U416" s="3">
        <v>11130</v>
      </c>
      <c r="V416" s="3">
        <v>25.416819409999999</v>
      </c>
      <c r="W416" s="3">
        <v>373358.44</v>
      </c>
      <c r="X416" s="3">
        <v>16586</v>
      </c>
      <c r="Y416" s="3">
        <v>22.51045701</v>
      </c>
    </row>
    <row r="417" spans="17:25" x14ac:dyDescent="0.25">
      <c r="Q417" s="3" t="s">
        <v>826</v>
      </c>
      <c r="R417" s="3" t="s">
        <v>836</v>
      </c>
      <c r="S417" s="3" t="s">
        <v>742</v>
      </c>
      <c r="T417" s="3">
        <v>415575.63</v>
      </c>
      <c r="U417" s="3">
        <v>125697</v>
      </c>
      <c r="V417" s="3">
        <v>3.3061698370000001</v>
      </c>
      <c r="W417" s="3">
        <v>371160.51</v>
      </c>
      <c r="X417" s="3">
        <v>96653</v>
      </c>
      <c r="Y417" s="3">
        <v>3.840134398</v>
      </c>
    </row>
    <row r="418" spans="17:25" x14ac:dyDescent="0.25">
      <c r="Q418" s="3" t="s">
        <v>827</v>
      </c>
      <c r="R418" s="3" t="s">
        <v>837</v>
      </c>
      <c r="S418" s="3" t="s">
        <v>837</v>
      </c>
      <c r="T418" s="3">
        <v>277872.28999999998</v>
      </c>
      <c r="U418" s="3">
        <v>21873</v>
      </c>
      <c r="V418" s="3">
        <v>12.703894760000001</v>
      </c>
      <c r="W418" s="3">
        <v>370547.5</v>
      </c>
      <c r="X418" s="3">
        <v>21194</v>
      </c>
      <c r="Y418" s="3">
        <v>17.483603850000002</v>
      </c>
    </row>
    <row r="419" spans="17:25" x14ac:dyDescent="0.25">
      <c r="Q419" s="3" t="s">
        <v>828</v>
      </c>
      <c r="R419" s="3" t="s">
        <v>838</v>
      </c>
      <c r="S419" s="3" t="s">
        <v>846</v>
      </c>
      <c r="T419" s="3">
        <v>2665207.13</v>
      </c>
      <c r="U419" s="3">
        <v>423</v>
      </c>
      <c r="V419" s="3">
        <v>6300.7260759999999</v>
      </c>
      <c r="W419" s="3">
        <v>368417.43</v>
      </c>
      <c r="X419" s="3">
        <v>267</v>
      </c>
      <c r="Y419" s="3">
        <v>1379.8405620000001</v>
      </c>
    </row>
    <row r="420" spans="17:25" x14ac:dyDescent="0.25">
      <c r="Q420" s="3" t="s">
        <v>829</v>
      </c>
      <c r="R420" s="3" t="s">
        <v>839</v>
      </c>
      <c r="S420" s="3" t="s">
        <v>847</v>
      </c>
      <c r="T420" s="3">
        <v>498555.59</v>
      </c>
      <c r="U420" s="3">
        <v>3240</v>
      </c>
      <c r="V420" s="3">
        <v>153.87518209999999</v>
      </c>
      <c r="W420" s="3">
        <v>362712.8</v>
      </c>
      <c r="X420" s="3">
        <v>2650</v>
      </c>
      <c r="Y420" s="3">
        <v>136.8727547</v>
      </c>
    </row>
    <row r="421" spans="17:25" x14ac:dyDescent="0.25">
      <c r="Q421" s="3" t="s">
        <v>830</v>
      </c>
      <c r="R421" s="3" t="s">
        <v>840</v>
      </c>
      <c r="S421" s="3" t="s">
        <v>840</v>
      </c>
      <c r="T421" s="3">
        <v>472469.45</v>
      </c>
      <c r="U421" s="3">
        <v>23058</v>
      </c>
      <c r="V421" s="3">
        <v>20.490478360000001</v>
      </c>
      <c r="W421" s="3">
        <v>342344.1</v>
      </c>
      <c r="X421" s="3">
        <v>17591</v>
      </c>
      <c r="Y421" s="3">
        <v>19.461321130000002</v>
      </c>
    </row>
    <row r="422" spans="17:25" x14ac:dyDescent="0.25">
      <c r="Q422" s="3" t="s">
        <v>831</v>
      </c>
      <c r="R422" s="3" t="s">
        <v>841</v>
      </c>
      <c r="S422" s="3" t="s">
        <v>848</v>
      </c>
      <c r="T422" s="3">
        <v>435541.65</v>
      </c>
      <c r="U422" s="3">
        <v>27</v>
      </c>
      <c r="V422" s="3">
        <v>16131.17222</v>
      </c>
      <c r="W422" s="3">
        <v>331573.95</v>
      </c>
      <c r="X422" s="3">
        <v>27</v>
      </c>
      <c r="Y422" s="3">
        <v>12280.516670000001</v>
      </c>
    </row>
    <row r="423" spans="17:25" x14ac:dyDescent="0.25">
      <c r="Q423" s="3" t="s">
        <v>832</v>
      </c>
      <c r="R423" s="3" t="s">
        <v>842</v>
      </c>
      <c r="S423" s="3" t="s">
        <v>842</v>
      </c>
      <c r="T423" s="3">
        <v>1100165.6000000001</v>
      </c>
      <c r="U423" s="3">
        <v>448</v>
      </c>
      <c r="V423" s="3">
        <v>2455.7267860000002</v>
      </c>
      <c r="W423" s="3">
        <v>318211.46999999997</v>
      </c>
      <c r="X423" s="3">
        <v>225</v>
      </c>
      <c r="Y423" s="3">
        <v>1414.2732000000001</v>
      </c>
    </row>
    <row r="424" spans="17:25" x14ac:dyDescent="0.25">
      <c r="Q424" s="3">
        <v>90677</v>
      </c>
      <c r="R424" s="3" t="s">
        <v>1614</v>
      </c>
      <c r="S424" s="3" t="s">
        <v>1735</v>
      </c>
      <c r="T424" s="3"/>
      <c r="U424" s="3"/>
      <c r="V424" s="3"/>
      <c r="W424" s="3">
        <v>314629.93</v>
      </c>
      <c r="X424" s="3">
        <v>1209</v>
      </c>
      <c r="Y424" s="3">
        <v>260.23980979999999</v>
      </c>
    </row>
    <row r="425" spans="17:25" x14ac:dyDescent="0.25">
      <c r="Q425" s="3" t="s">
        <v>849</v>
      </c>
      <c r="R425" s="3" t="s">
        <v>852</v>
      </c>
      <c r="S425" s="3" t="s">
        <v>855</v>
      </c>
      <c r="T425" s="3">
        <v>771625.93</v>
      </c>
      <c r="U425" s="3">
        <v>30508</v>
      </c>
      <c r="V425" s="3">
        <v>25.292576700000001</v>
      </c>
      <c r="W425" s="3">
        <v>299782.59000000003</v>
      </c>
      <c r="X425" s="3">
        <v>12817</v>
      </c>
      <c r="Y425" s="3">
        <v>23.38945073</v>
      </c>
    </row>
    <row r="426" spans="17:25" x14ac:dyDescent="0.25">
      <c r="Q426" s="3" t="s">
        <v>850</v>
      </c>
      <c r="R426" s="3" t="s">
        <v>853</v>
      </c>
      <c r="S426" s="3" t="s">
        <v>856</v>
      </c>
      <c r="T426" s="3">
        <v>353825.34</v>
      </c>
      <c r="U426" s="3">
        <v>75271</v>
      </c>
      <c r="V426" s="3">
        <v>4.7006860540000002</v>
      </c>
      <c r="W426" s="3">
        <v>290934.65000000002</v>
      </c>
      <c r="X426" s="3">
        <v>61708</v>
      </c>
      <c r="Y426" s="3">
        <v>4.7146990669999997</v>
      </c>
    </row>
    <row r="427" spans="17:25" x14ac:dyDescent="0.25">
      <c r="Q427" s="3" t="s">
        <v>851</v>
      </c>
      <c r="R427" s="3" t="s">
        <v>854</v>
      </c>
      <c r="S427" s="3"/>
      <c r="T427" s="3">
        <v>467719.41</v>
      </c>
      <c r="U427" s="3">
        <v>364</v>
      </c>
      <c r="V427" s="3">
        <v>1284.943434</v>
      </c>
      <c r="W427" s="3">
        <v>285841.34000000003</v>
      </c>
      <c r="X427" s="3">
        <v>322</v>
      </c>
      <c r="Y427" s="3">
        <v>887.70602480000002</v>
      </c>
    </row>
    <row r="428" spans="17:25" x14ac:dyDescent="0.25">
      <c r="Q428" s="3" t="s">
        <v>1482</v>
      </c>
      <c r="R428" s="3" t="s">
        <v>1615</v>
      </c>
      <c r="S428" s="3" t="s">
        <v>1730</v>
      </c>
      <c r="T428" s="3"/>
      <c r="U428" s="3"/>
      <c r="V428" s="3"/>
      <c r="W428" s="3">
        <v>284350.59999999998</v>
      </c>
      <c r="X428" s="3"/>
      <c r="Y428" s="3"/>
    </row>
    <row r="429" spans="17:25" x14ac:dyDescent="0.25">
      <c r="Q429" s="3" t="s">
        <v>857</v>
      </c>
      <c r="R429" s="3" t="s">
        <v>863</v>
      </c>
      <c r="S429" s="3" t="s">
        <v>869</v>
      </c>
      <c r="T429" s="3">
        <v>1796087.6</v>
      </c>
      <c r="U429" s="3">
        <v>66</v>
      </c>
      <c r="V429" s="3">
        <v>27213.448489999999</v>
      </c>
      <c r="W429" s="3">
        <v>284287.06</v>
      </c>
      <c r="X429" s="3"/>
      <c r="Y429" s="3"/>
    </row>
    <row r="430" spans="17:25" x14ac:dyDescent="0.25">
      <c r="Q430" s="3" t="s">
        <v>858</v>
      </c>
      <c r="R430" s="3" t="s">
        <v>864</v>
      </c>
      <c r="S430" s="3" t="s">
        <v>742</v>
      </c>
      <c r="T430" s="3">
        <v>305057.52</v>
      </c>
      <c r="U430" s="3">
        <v>71300</v>
      </c>
      <c r="V430" s="3">
        <v>4.2785065920000003</v>
      </c>
      <c r="W430" s="3">
        <v>281686.23</v>
      </c>
      <c r="X430" s="3">
        <v>56931</v>
      </c>
      <c r="Y430" s="3">
        <v>4.9478531910000001</v>
      </c>
    </row>
    <row r="431" spans="17:25" x14ac:dyDescent="0.25">
      <c r="Q431" s="3" t="s">
        <v>859</v>
      </c>
      <c r="R431" s="3" t="s">
        <v>865</v>
      </c>
      <c r="S431" s="3" t="s">
        <v>870</v>
      </c>
      <c r="T431" s="3">
        <v>756.38</v>
      </c>
      <c r="U431" s="3">
        <v>20</v>
      </c>
      <c r="V431" s="3">
        <v>37.819000000000003</v>
      </c>
      <c r="W431" s="3">
        <v>267449.07</v>
      </c>
      <c r="X431" s="3">
        <v>1232</v>
      </c>
      <c r="Y431" s="3">
        <v>217.0852841</v>
      </c>
    </row>
    <row r="432" spans="17:25" x14ac:dyDescent="0.25">
      <c r="Q432" s="3" t="s">
        <v>860</v>
      </c>
      <c r="R432" s="3" t="s">
        <v>866</v>
      </c>
      <c r="S432" s="3" t="s">
        <v>871</v>
      </c>
      <c r="T432" s="3">
        <v>545996.89</v>
      </c>
      <c r="U432" s="3">
        <v>4150</v>
      </c>
      <c r="V432" s="3">
        <v>131.56551569999999</v>
      </c>
      <c r="W432" s="3">
        <v>259491.61</v>
      </c>
      <c r="X432" s="3">
        <v>2100</v>
      </c>
      <c r="Y432" s="3">
        <v>123.5674333</v>
      </c>
    </row>
    <row r="433" spans="17:25" x14ac:dyDescent="0.25">
      <c r="Q433" s="3" t="s">
        <v>861</v>
      </c>
      <c r="R433" s="3" t="s">
        <v>867</v>
      </c>
      <c r="S433" s="3" t="s">
        <v>872</v>
      </c>
      <c r="T433" s="3">
        <v>730159.69</v>
      </c>
      <c r="U433" s="3">
        <v>1335</v>
      </c>
      <c r="V433" s="3">
        <v>546.93609739999999</v>
      </c>
      <c r="W433" s="3">
        <v>257234.08</v>
      </c>
      <c r="X433" s="3">
        <v>756</v>
      </c>
      <c r="Y433" s="3">
        <v>340.2567196</v>
      </c>
    </row>
    <row r="434" spans="17:25" x14ac:dyDescent="0.25">
      <c r="Q434" s="3" t="s">
        <v>862</v>
      </c>
      <c r="R434" s="3" t="s">
        <v>868</v>
      </c>
      <c r="S434" s="3" t="s">
        <v>128</v>
      </c>
      <c r="T434" s="3">
        <v>544164.81000000006</v>
      </c>
      <c r="U434" s="3">
        <v>691</v>
      </c>
      <c r="V434" s="3">
        <v>787.50334299999997</v>
      </c>
      <c r="W434" s="3">
        <v>251647.62</v>
      </c>
      <c r="X434" s="3">
        <v>317</v>
      </c>
      <c r="Y434" s="3">
        <v>793.84107259999996</v>
      </c>
    </row>
    <row r="435" spans="17:25" x14ac:dyDescent="0.25">
      <c r="Q435" s="3" t="s">
        <v>1483</v>
      </c>
      <c r="R435" s="3" t="s">
        <v>1616</v>
      </c>
      <c r="S435" s="3" t="s">
        <v>1736</v>
      </c>
      <c r="T435" s="3"/>
      <c r="U435" s="3"/>
      <c r="V435" s="3"/>
      <c r="W435" s="3">
        <v>245945.02</v>
      </c>
      <c r="X435" s="3">
        <v>41</v>
      </c>
      <c r="Y435" s="3">
        <v>5998.6590239999996</v>
      </c>
    </row>
    <row r="436" spans="17:25" x14ac:dyDescent="0.25">
      <c r="Q436" s="3" t="s">
        <v>873</v>
      </c>
      <c r="R436" s="3" t="s">
        <v>877</v>
      </c>
      <c r="S436" s="3" t="s">
        <v>881</v>
      </c>
      <c r="T436" s="3">
        <v>276222.71999999997</v>
      </c>
      <c r="U436" s="3">
        <v>5689</v>
      </c>
      <c r="V436" s="3">
        <v>48.55382668</v>
      </c>
      <c r="W436" s="3">
        <v>243089.15</v>
      </c>
      <c r="X436" s="3">
        <v>3327</v>
      </c>
      <c r="Y436" s="3">
        <v>73.065569580000002</v>
      </c>
    </row>
    <row r="437" spans="17:25" x14ac:dyDescent="0.25">
      <c r="Q437" s="3" t="s">
        <v>874</v>
      </c>
      <c r="R437" s="3" t="s">
        <v>878</v>
      </c>
      <c r="S437" s="3" t="s">
        <v>882</v>
      </c>
      <c r="T437" s="3">
        <v>337486.07</v>
      </c>
      <c r="U437" s="3">
        <v>109</v>
      </c>
      <c r="V437" s="3">
        <v>3096.2024769999998</v>
      </c>
      <c r="W437" s="3">
        <v>241529.68</v>
      </c>
      <c r="X437" s="3">
        <v>30</v>
      </c>
      <c r="Y437" s="3">
        <v>8050.9893330000004</v>
      </c>
    </row>
    <row r="438" spans="17:25" x14ac:dyDescent="0.25">
      <c r="Q438" s="3" t="s">
        <v>875</v>
      </c>
      <c r="R438" s="3" t="s">
        <v>879</v>
      </c>
      <c r="S438" s="3" t="s">
        <v>879</v>
      </c>
      <c r="T438" s="3">
        <v>182787.22</v>
      </c>
      <c r="U438" s="3">
        <v>853</v>
      </c>
      <c r="V438" s="3">
        <v>214.28747949999999</v>
      </c>
      <c r="W438" s="3">
        <v>239571.3</v>
      </c>
      <c r="X438" s="3">
        <v>928</v>
      </c>
      <c r="Y438" s="3">
        <v>258.1587285</v>
      </c>
    </row>
    <row r="439" spans="17:25" x14ac:dyDescent="0.25">
      <c r="Q439" s="3" t="s">
        <v>876</v>
      </c>
      <c r="R439" s="3" t="s">
        <v>880</v>
      </c>
      <c r="S439" s="3" t="s">
        <v>883</v>
      </c>
      <c r="T439" s="3">
        <v>223929.8</v>
      </c>
      <c r="U439" s="3">
        <v>3233</v>
      </c>
      <c r="V439" s="3">
        <v>69.263779769999999</v>
      </c>
      <c r="W439" s="3">
        <v>237097.31</v>
      </c>
      <c r="X439" s="3">
        <v>1634</v>
      </c>
      <c r="Y439" s="3">
        <v>145.10239290000001</v>
      </c>
    </row>
    <row r="440" spans="17:25" x14ac:dyDescent="0.25">
      <c r="Q440" s="3" t="s">
        <v>1484</v>
      </c>
      <c r="R440" s="3" t="s">
        <v>1617</v>
      </c>
      <c r="S440" s="3" t="s">
        <v>1737</v>
      </c>
      <c r="T440" s="3"/>
      <c r="U440" s="3"/>
      <c r="V440" s="3"/>
      <c r="W440" s="3">
        <v>236780.93</v>
      </c>
      <c r="X440" s="3">
        <v>87</v>
      </c>
      <c r="Y440" s="3">
        <v>2721.6198850000001</v>
      </c>
    </row>
    <row r="441" spans="17:25" x14ac:dyDescent="0.25">
      <c r="Q441" s="3" t="s">
        <v>884</v>
      </c>
      <c r="R441" s="3" t="s">
        <v>889</v>
      </c>
      <c r="S441" s="3" t="s">
        <v>894</v>
      </c>
      <c r="T441" s="3">
        <v>166076.10999999999</v>
      </c>
      <c r="U441" s="3">
        <v>12274</v>
      </c>
      <c r="V441" s="3">
        <v>13.530724299999999</v>
      </c>
      <c r="W441" s="3">
        <v>231726.9</v>
      </c>
      <c r="X441" s="3">
        <v>8905</v>
      </c>
      <c r="Y441" s="3">
        <v>26.022111169999999</v>
      </c>
    </row>
    <row r="442" spans="17:25" x14ac:dyDescent="0.25">
      <c r="Q442" s="3" t="s">
        <v>885</v>
      </c>
      <c r="R442" s="3" t="s">
        <v>890</v>
      </c>
      <c r="S442" s="3" t="s">
        <v>895</v>
      </c>
      <c r="T442" s="3">
        <v>281794.59000000003</v>
      </c>
      <c r="U442" s="3">
        <v>71335</v>
      </c>
      <c r="V442" s="3">
        <v>3.9502991519999999</v>
      </c>
      <c r="W442" s="3">
        <v>229988.98</v>
      </c>
      <c r="X442" s="3">
        <v>57755</v>
      </c>
      <c r="Y442" s="3">
        <v>3.9821483849999999</v>
      </c>
    </row>
    <row r="443" spans="17:25" x14ac:dyDescent="0.25">
      <c r="Q443" s="3" t="s">
        <v>886</v>
      </c>
      <c r="R443" s="3" t="s">
        <v>891</v>
      </c>
      <c r="S443" s="3" t="s">
        <v>444</v>
      </c>
      <c r="T443" s="3">
        <v>240468.15</v>
      </c>
      <c r="U443" s="3">
        <v>27101</v>
      </c>
      <c r="V443" s="3">
        <v>8.8730360499999996</v>
      </c>
      <c r="W443" s="3">
        <v>228680.09</v>
      </c>
      <c r="X443" s="3">
        <v>6931</v>
      </c>
      <c r="Y443" s="3">
        <v>32.993808970000003</v>
      </c>
    </row>
    <row r="444" spans="17:25" x14ac:dyDescent="0.25">
      <c r="Q444" s="3" t="s">
        <v>887</v>
      </c>
      <c r="R444" s="3" t="s">
        <v>892</v>
      </c>
      <c r="S444" s="3" t="s">
        <v>892</v>
      </c>
      <c r="T444" s="3">
        <v>242735.68</v>
      </c>
      <c r="U444" s="3">
        <v>77599</v>
      </c>
      <c r="V444" s="3">
        <v>3.1280774240000002</v>
      </c>
      <c r="W444" s="3">
        <v>225467.16</v>
      </c>
      <c r="X444" s="3">
        <v>57031</v>
      </c>
      <c r="Y444" s="3">
        <v>3.953414108</v>
      </c>
    </row>
    <row r="445" spans="17:25" x14ac:dyDescent="0.25">
      <c r="Q445" s="3" t="s">
        <v>888</v>
      </c>
      <c r="R445" s="3" t="s">
        <v>893</v>
      </c>
      <c r="S445" s="3" t="s">
        <v>893</v>
      </c>
      <c r="T445" s="3">
        <v>250527.33</v>
      </c>
      <c r="U445" s="3">
        <v>38</v>
      </c>
      <c r="V445" s="3">
        <v>6592.824474</v>
      </c>
      <c r="W445" s="3">
        <v>221412.31</v>
      </c>
      <c r="X445" s="3">
        <v>36</v>
      </c>
      <c r="Y445" s="3">
        <v>6150.3419439999998</v>
      </c>
    </row>
    <row r="446" spans="17:25" x14ac:dyDescent="0.25">
      <c r="Q446" s="3" t="s">
        <v>1485</v>
      </c>
      <c r="R446" s="3" t="s">
        <v>1618</v>
      </c>
      <c r="S446" s="3" t="s">
        <v>1738</v>
      </c>
      <c r="T446" s="3"/>
      <c r="U446" s="3"/>
      <c r="V446" s="3"/>
      <c r="W446" s="3">
        <v>220987.21</v>
      </c>
      <c r="X446" s="3"/>
      <c r="Y446" s="3"/>
    </row>
    <row r="447" spans="17:25" x14ac:dyDescent="0.25">
      <c r="Q447" s="3" t="s">
        <v>896</v>
      </c>
      <c r="R447" s="3" t="s">
        <v>904</v>
      </c>
      <c r="S447" s="3" t="s">
        <v>913</v>
      </c>
      <c r="T447" s="3">
        <v>285086.96999999997</v>
      </c>
      <c r="U447" s="3">
        <v>2935</v>
      </c>
      <c r="V447" s="3">
        <v>97.133550260000007</v>
      </c>
      <c r="W447" s="3">
        <v>211724.08</v>
      </c>
      <c r="X447" s="3">
        <v>1645</v>
      </c>
      <c r="Y447" s="3">
        <v>128.70764740000001</v>
      </c>
    </row>
    <row r="448" spans="17:25" x14ac:dyDescent="0.25">
      <c r="Q448" s="3" t="s">
        <v>897</v>
      </c>
      <c r="R448" s="3" t="s">
        <v>905</v>
      </c>
      <c r="S448" s="3" t="s">
        <v>914</v>
      </c>
      <c r="T448" s="3">
        <v>2439016.2999999998</v>
      </c>
      <c r="U448" s="3">
        <v>751</v>
      </c>
      <c r="V448" s="3">
        <v>3247.6914780000002</v>
      </c>
      <c r="W448" s="3">
        <v>203687.82</v>
      </c>
      <c r="X448" s="3">
        <v>47</v>
      </c>
      <c r="Y448" s="3">
        <v>4333.7834039999998</v>
      </c>
    </row>
    <row r="449" spans="17:25" x14ac:dyDescent="0.25">
      <c r="Q449" s="3" t="s">
        <v>898</v>
      </c>
      <c r="R449" s="3" t="s">
        <v>906</v>
      </c>
      <c r="S449" s="3" t="s">
        <v>906</v>
      </c>
      <c r="T449" s="3">
        <v>140086.47</v>
      </c>
      <c r="U449" s="3">
        <v>10618</v>
      </c>
      <c r="V449" s="3">
        <v>13.193301</v>
      </c>
      <c r="W449" s="3">
        <v>197767.67</v>
      </c>
      <c r="X449" s="3">
        <v>9625</v>
      </c>
      <c r="Y449" s="3">
        <v>20.547290390000001</v>
      </c>
    </row>
    <row r="450" spans="17:25" x14ac:dyDescent="0.25">
      <c r="Q450" s="3" t="s">
        <v>899</v>
      </c>
      <c r="R450" s="3" t="s">
        <v>907</v>
      </c>
      <c r="S450" s="3" t="s">
        <v>907</v>
      </c>
      <c r="T450" s="3">
        <v>124555.08</v>
      </c>
      <c r="U450" s="3">
        <v>537</v>
      </c>
      <c r="V450" s="3">
        <v>231.94614530000001</v>
      </c>
      <c r="W450" s="3">
        <v>194747.95</v>
      </c>
      <c r="X450" s="3">
        <v>648</v>
      </c>
      <c r="Y450" s="3">
        <v>300.5369599</v>
      </c>
    </row>
    <row r="451" spans="17:25" x14ac:dyDescent="0.25">
      <c r="Q451" s="3" t="s">
        <v>900</v>
      </c>
      <c r="R451" s="3" t="s">
        <v>908</v>
      </c>
      <c r="S451" s="3" t="s">
        <v>915</v>
      </c>
      <c r="T451" s="3">
        <v>47925.54</v>
      </c>
      <c r="U451" s="3">
        <v>17</v>
      </c>
      <c r="V451" s="3">
        <v>2819.1494120000002</v>
      </c>
      <c r="W451" s="3">
        <v>184573.97</v>
      </c>
      <c r="X451" s="3">
        <v>987</v>
      </c>
      <c r="Y451" s="3">
        <v>187.00503549999999</v>
      </c>
    </row>
    <row r="452" spans="17:25" x14ac:dyDescent="0.25">
      <c r="Q452" s="3">
        <v>90685</v>
      </c>
      <c r="R452" s="3" t="s">
        <v>909</v>
      </c>
      <c r="S452" s="3" t="s">
        <v>916</v>
      </c>
      <c r="T452" s="3">
        <v>38884.74</v>
      </c>
      <c r="U452" s="3">
        <v>1427</v>
      </c>
      <c r="V452" s="3">
        <v>27.249292220000001</v>
      </c>
      <c r="W452" s="3">
        <v>178338.58</v>
      </c>
      <c r="X452" s="3">
        <v>6260</v>
      </c>
      <c r="Y452" s="3">
        <v>28.48859105</v>
      </c>
    </row>
    <row r="453" spans="17:25" x14ac:dyDescent="0.25">
      <c r="Q453" s="3" t="s">
        <v>901</v>
      </c>
      <c r="R453" s="3" t="s">
        <v>910</v>
      </c>
      <c r="S453" s="3" t="s">
        <v>910</v>
      </c>
      <c r="T453" s="3">
        <v>162222.1</v>
      </c>
      <c r="U453" s="3">
        <v>25504</v>
      </c>
      <c r="V453" s="3">
        <v>6.3606532309999997</v>
      </c>
      <c r="W453" s="3">
        <v>158292.28</v>
      </c>
      <c r="X453" s="3">
        <v>16275</v>
      </c>
      <c r="Y453" s="3">
        <v>9.7261001539999992</v>
      </c>
    </row>
    <row r="454" spans="17:25" x14ac:dyDescent="0.25">
      <c r="Q454" s="3" t="s">
        <v>902</v>
      </c>
      <c r="R454" s="3" t="s">
        <v>911</v>
      </c>
      <c r="S454" s="3" t="s">
        <v>917</v>
      </c>
      <c r="T454" s="3">
        <v>310995.31</v>
      </c>
      <c r="U454" s="3">
        <v>1965</v>
      </c>
      <c r="V454" s="3">
        <v>158.26733329999999</v>
      </c>
      <c r="W454" s="3">
        <v>151364.03</v>
      </c>
      <c r="X454" s="3">
        <v>698</v>
      </c>
      <c r="Y454" s="3">
        <v>216.8539112</v>
      </c>
    </row>
    <row r="455" spans="17:25" x14ac:dyDescent="0.25">
      <c r="Q455" s="3" t="s">
        <v>903</v>
      </c>
      <c r="R455" s="3" t="s">
        <v>912</v>
      </c>
      <c r="S455" s="3" t="s">
        <v>918</v>
      </c>
      <c r="T455" s="3">
        <v>122502.48</v>
      </c>
      <c r="U455" s="3">
        <v>272</v>
      </c>
      <c r="V455" s="3">
        <v>450.37676470000002</v>
      </c>
      <c r="W455" s="3">
        <v>150086.75</v>
      </c>
      <c r="X455" s="3">
        <v>330</v>
      </c>
      <c r="Y455" s="3">
        <v>454.80833330000002</v>
      </c>
    </row>
    <row r="456" spans="17:25" x14ac:dyDescent="0.25">
      <c r="Q456" s="3" t="s">
        <v>1486</v>
      </c>
      <c r="R456" s="3" t="s">
        <v>1619</v>
      </c>
      <c r="S456" s="3" t="s">
        <v>1739</v>
      </c>
      <c r="T456" s="3"/>
      <c r="U456" s="3"/>
      <c r="V456" s="3"/>
      <c r="W456" s="3">
        <v>146629.82</v>
      </c>
      <c r="X456" s="3">
        <v>12</v>
      </c>
      <c r="Y456" s="3">
        <v>12219.151669999999</v>
      </c>
    </row>
    <row r="457" spans="17:25" x14ac:dyDescent="0.25">
      <c r="Q457" s="3" t="s">
        <v>919</v>
      </c>
      <c r="R457" s="3" t="s">
        <v>923</v>
      </c>
      <c r="S457" s="3" t="s">
        <v>923</v>
      </c>
      <c r="T457" s="3">
        <v>172116.37</v>
      </c>
      <c r="U457" s="3">
        <v>3526</v>
      </c>
      <c r="V457" s="3">
        <v>48.813491210000002</v>
      </c>
      <c r="W457" s="3">
        <v>145046.35999999999</v>
      </c>
      <c r="X457" s="3">
        <v>3500</v>
      </c>
      <c r="Y457" s="3">
        <v>41.441817139999998</v>
      </c>
    </row>
    <row r="458" spans="17:25" x14ac:dyDescent="0.25">
      <c r="Q458" s="3" t="s">
        <v>920</v>
      </c>
      <c r="R458" s="3" t="s">
        <v>924</v>
      </c>
      <c r="S458" s="3" t="s">
        <v>927</v>
      </c>
      <c r="T458" s="3">
        <v>85894.01</v>
      </c>
      <c r="U458" s="3">
        <v>32530</v>
      </c>
      <c r="V458" s="3">
        <v>2.6404552720000001</v>
      </c>
      <c r="W458" s="3">
        <v>144819.01</v>
      </c>
      <c r="X458" s="3">
        <v>42117</v>
      </c>
      <c r="Y458" s="3">
        <v>3.438493008</v>
      </c>
    </row>
    <row r="459" spans="17:25" x14ac:dyDescent="0.25">
      <c r="Q459" s="3" t="s">
        <v>921</v>
      </c>
      <c r="R459" s="3" t="s">
        <v>925</v>
      </c>
      <c r="S459" s="3" t="s">
        <v>928</v>
      </c>
      <c r="T459" s="3">
        <v>330574.15000000002</v>
      </c>
      <c r="U459" s="3">
        <v>1523</v>
      </c>
      <c r="V459" s="3">
        <v>217.05459619999999</v>
      </c>
      <c r="W459" s="3">
        <v>141305.67000000001</v>
      </c>
      <c r="X459" s="3">
        <v>1000</v>
      </c>
      <c r="Y459" s="3">
        <v>141.30566999999999</v>
      </c>
    </row>
    <row r="460" spans="17:25" x14ac:dyDescent="0.25">
      <c r="Q460" s="3" t="s">
        <v>922</v>
      </c>
      <c r="R460" s="3" t="s">
        <v>926</v>
      </c>
      <c r="S460" s="3" t="s">
        <v>929</v>
      </c>
      <c r="T460" s="3">
        <v>173374.05</v>
      </c>
      <c r="U460" s="3">
        <v>5069</v>
      </c>
      <c r="V460" s="3">
        <v>34.20281121</v>
      </c>
      <c r="W460" s="3">
        <v>140982.69</v>
      </c>
      <c r="X460" s="3">
        <v>4125</v>
      </c>
      <c r="Y460" s="3">
        <v>34.177621819999999</v>
      </c>
    </row>
    <row r="461" spans="17:25" x14ac:dyDescent="0.25">
      <c r="Q461" s="3" t="s">
        <v>1487</v>
      </c>
      <c r="R461" s="3" t="s">
        <v>1620</v>
      </c>
      <c r="S461" s="3" t="s">
        <v>1740</v>
      </c>
      <c r="T461" s="3"/>
      <c r="U461" s="3"/>
      <c r="V461" s="3"/>
      <c r="W461" s="3">
        <v>135504.07999999999</v>
      </c>
      <c r="X461" s="3">
        <v>101</v>
      </c>
      <c r="Y461" s="3">
        <v>1341.6245550000001</v>
      </c>
    </row>
    <row r="462" spans="17:25" x14ac:dyDescent="0.25">
      <c r="Q462" s="3" t="s">
        <v>930</v>
      </c>
      <c r="R462" s="3" t="s">
        <v>934</v>
      </c>
      <c r="S462" s="3" t="s">
        <v>938</v>
      </c>
      <c r="T462" s="3">
        <v>202313.86</v>
      </c>
      <c r="U462" s="3"/>
      <c r="V462" s="3"/>
      <c r="W462" s="3">
        <v>134912.29</v>
      </c>
      <c r="X462" s="3"/>
      <c r="Y462" s="3"/>
    </row>
    <row r="463" spans="17:25" x14ac:dyDescent="0.25">
      <c r="Q463" s="3" t="s">
        <v>931</v>
      </c>
      <c r="R463" s="3" t="s">
        <v>935</v>
      </c>
      <c r="S463" s="3" t="s">
        <v>939</v>
      </c>
      <c r="T463" s="3">
        <v>153272.42000000001</v>
      </c>
      <c r="U463" s="3">
        <v>182</v>
      </c>
      <c r="V463" s="3">
        <v>842.15615390000005</v>
      </c>
      <c r="W463" s="3">
        <v>127946.35</v>
      </c>
      <c r="X463" s="3">
        <v>117</v>
      </c>
      <c r="Y463" s="3">
        <v>1093.5585470000001</v>
      </c>
    </row>
    <row r="464" spans="17:25" x14ac:dyDescent="0.25">
      <c r="Q464" s="3" t="s">
        <v>932</v>
      </c>
      <c r="R464" s="3" t="s">
        <v>936</v>
      </c>
      <c r="S464" s="3" t="s">
        <v>940</v>
      </c>
      <c r="T464" s="3">
        <v>411679.28</v>
      </c>
      <c r="U464" s="3">
        <v>107</v>
      </c>
      <c r="V464" s="3">
        <v>3847.4699070000001</v>
      </c>
      <c r="W464" s="3">
        <v>124548.01</v>
      </c>
      <c r="X464" s="3">
        <v>26</v>
      </c>
      <c r="Y464" s="3">
        <v>4790.3080769999997</v>
      </c>
    </row>
    <row r="465" spans="17:25" x14ac:dyDescent="0.25">
      <c r="Q465" s="3" t="s">
        <v>933</v>
      </c>
      <c r="R465" s="3" t="s">
        <v>937</v>
      </c>
      <c r="S465" s="3" t="s">
        <v>941</v>
      </c>
      <c r="T465" s="3">
        <v>147274.01</v>
      </c>
      <c r="U465" s="3">
        <v>218</v>
      </c>
      <c r="V465" s="3">
        <v>675.56885320000004</v>
      </c>
      <c r="W465" s="3">
        <v>124011.57</v>
      </c>
      <c r="X465" s="3">
        <v>168</v>
      </c>
      <c r="Y465" s="3">
        <v>738.16410710000002</v>
      </c>
    </row>
    <row r="466" spans="17:25" x14ac:dyDescent="0.25">
      <c r="Q466" s="3" t="s">
        <v>1488</v>
      </c>
      <c r="R466" s="3" t="s">
        <v>1621</v>
      </c>
      <c r="S466" s="3" t="s">
        <v>1741</v>
      </c>
      <c r="T466" s="3"/>
      <c r="U466" s="3"/>
      <c r="V466" s="3"/>
      <c r="W466" s="3">
        <v>121748.92</v>
      </c>
      <c r="X466" s="3">
        <v>111</v>
      </c>
      <c r="Y466" s="3">
        <v>1096.837117</v>
      </c>
    </row>
    <row r="467" spans="17:25" x14ac:dyDescent="0.25">
      <c r="Q467" s="3" t="s">
        <v>942</v>
      </c>
      <c r="R467" s="3" t="s">
        <v>953</v>
      </c>
      <c r="S467" s="3" t="s">
        <v>964</v>
      </c>
      <c r="T467" s="3">
        <v>384297.78</v>
      </c>
      <c r="U467" s="3">
        <v>25</v>
      </c>
      <c r="V467" s="3">
        <v>15371.9112</v>
      </c>
      <c r="W467" s="3">
        <v>121491.34</v>
      </c>
      <c r="X467" s="3">
        <v>11</v>
      </c>
      <c r="Y467" s="3">
        <v>11044.66727</v>
      </c>
    </row>
    <row r="468" spans="17:25" x14ac:dyDescent="0.25">
      <c r="Q468" s="3" t="s">
        <v>943</v>
      </c>
      <c r="R468" s="3" t="s">
        <v>954</v>
      </c>
      <c r="S468" s="3" t="s">
        <v>965</v>
      </c>
      <c r="T468" s="3">
        <v>187482.49</v>
      </c>
      <c r="U468" s="3">
        <v>1192</v>
      </c>
      <c r="V468" s="3">
        <v>157.28396810000001</v>
      </c>
      <c r="W468" s="3">
        <v>117441.65</v>
      </c>
      <c r="X468" s="3">
        <v>570</v>
      </c>
      <c r="Y468" s="3">
        <v>206.0379825</v>
      </c>
    </row>
    <row r="469" spans="17:25" x14ac:dyDescent="0.25">
      <c r="Q469" s="3" t="s">
        <v>944</v>
      </c>
      <c r="R469" s="3" t="s">
        <v>955</v>
      </c>
      <c r="S469" s="3" t="s">
        <v>966</v>
      </c>
      <c r="T469" s="3">
        <v>129376.77</v>
      </c>
      <c r="U469" s="3">
        <v>705</v>
      </c>
      <c r="V469" s="3">
        <v>183.5131489</v>
      </c>
      <c r="W469" s="3">
        <v>113942.79</v>
      </c>
      <c r="X469" s="3">
        <v>856</v>
      </c>
      <c r="Y469" s="3">
        <v>133.110736</v>
      </c>
    </row>
    <row r="470" spans="17:25" x14ac:dyDescent="0.25">
      <c r="Q470" s="3" t="s">
        <v>945</v>
      </c>
      <c r="R470" s="3" t="s">
        <v>956</v>
      </c>
      <c r="S470" s="3" t="s">
        <v>700</v>
      </c>
      <c r="T470" s="3">
        <v>178460.12</v>
      </c>
      <c r="U470" s="3">
        <v>6087</v>
      </c>
      <c r="V470" s="3">
        <v>29.318238869999998</v>
      </c>
      <c r="W470" s="3">
        <v>107242.26</v>
      </c>
      <c r="X470" s="3">
        <v>3815</v>
      </c>
      <c r="Y470" s="3">
        <v>28.11068414</v>
      </c>
    </row>
    <row r="471" spans="17:25" x14ac:dyDescent="0.25">
      <c r="Q471" s="3" t="s">
        <v>946</v>
      </c>
      <c r="R471" s="3" t="s">
        <v>957</v>
      </c>
      <c r="S471" s="3" t="s">
        <v>967</v>
      </c>
      <c r="T471" s="3">
        <v>135023.13</v>
      </c>
      <c r="U471" s="3">
        <v>3653</v>
      </c>
      <c r="V471" s="3">
        <v>36.962258419999998</v>
      </c>
      <c r="W471" s="3">
        <v>105648.4</v>
      </c>
      <c r="X471" s="3">
        <v>3087</v>
      </c>
      <c r="Y471" s="3">
        <v>34.223647550000003</v>
      </c>
    </row>
    <row r="472" spans="17:25" x14ac:dyDescent="0.25">
      <c r="Q472" s="3" t="s">
        <v>947</v>
      </c>
      <c r="R472" s="3" t="s">
        <v>958</v>
      </c>
      <c r="S472" s="3" t="s">
        <v>968</v>
      </c>
      <c r="T472" s="3">
        <v>135973.72</v>
      </c>
      <c r="U472" s="3">
        <v>2005</v>
      </c>
      <c r="V472" s="3">
        <v>67.81731671</v>
      </c>
      <c r="W472" s="3">
        <v>104375.55</v>
      </c>
      <c r="X472" s="3">
        <v>643</v>
      </c>
      <c r="Y472" s="3">
        <v>162.32589429999999</v>
      </c>
    </row>
    <row r="473" spans="17:25" x14ac:dyDescent="0.25">
      <c r="Q473" s="3" t="s">
        <v>948</v>
      </c>
      <c r="R473" s="3" t="s">
        <v>959</v>
      </c>
      <c r="S473" s="3" t="s">
        <v>969</v>
      </c>
      <c r="T473" s="3">
        <v>94682.86</v>
      </c>
      <c r="U473" s="3">
        <v>138</v>
      </c>
      <c r="V473" s="3">
        <v>686.1076812</v>
      </c>
      <c r="W473" s="3">
        <v>98994.34</v>
      </c>
      <c r="X473" s="3">
        <v>107</v>
      </c>
      <c r="Y473" s="3">
        <v>925.18074769999998</v>
      </c>
    </row>
    <row r="474" spans="17:25" x14ac:dyDescent="0.25">
      <c r="Q474" s="3" t="s">
        <v>949</v>
      </c>
      <c r="R474" s="3" t="s">
        <v>960</v>
      </c>
      <c r="S474" s="3" t="s">
        <v>960</v>
      </c>
      <c r="T474" s="3">
        <v>126452.66</v>
      </c>
      <c r="U474" s="3">
        <v>676</v>
      </c>
      <c r="V474" s="3">
        <v>187.0601479</v>
      </c>
      <c r="W474" s="3">
        <v>98661.65</v>
      </c>
      <c r="X474" s="3">
        <v>471</v>
      </c>
      <c r="Y474" s="3">
        <v>209.47271760000001</v>
      </c>
    </row>
    <row r="475" spans="17:25" x14ac:dyDescent="0.25">
      <c r="Q475" s="3" t="s">
        <v>950</v>
      </c>
      <c r="R475" s="3" t="s">
        <v>961</v>
      </c>
      <c r="S475" s="3" t="s">
        <v>961</v>
      </c>
      <c r="T475" s="3">
        <v>103988.97</v>
      </c>
      <c r="U475" s="3">
        <v>555</v>
      </c>
      <c r="V475" s="3">
        <v>187.3675135</v>
      </c>
      <c r="W475" s="3">
        <v>93991.61</v>
      </c>
      <c r="X475" s="3">
        <v>451</v>
      </c>
      <c r="Y475" s="3">
        <v>208.4071175</v>
      </c>
    </row>
    <row r="476" spans="17:25" x14ac:dyDescent="0.25">
      <c r="Q476" s="3" t="s">
        <v>951</v>
      </c>
      <c r="R476" s="3" t="s">
        <v>962</v>
      </c>
      <c r="S476" s="3" t="s">
        <v>970</v>
      </c>
      <c r="T476" s="3">
        <v>167193.31</v>
      </c>
      <c r="U476" s="3">
        <v>43915</v>
      </c>
      <c r="V476" s="3">
        <v>3.8072027780000002</v>
      </c>
      <c r="W476" s="3">
        <v>89226.6</v>
      </c>
      <c r="X476" s="3">
        <v>19744</v>
      </c>
      <c r="Y476" s="3">
        <v>4.5191754460000002</v>
      </c>
    </row>
    <row r="477" spans="17:25" x14ac:dyDescent="0.25">
      <c r="Q477" s="3" t="s">
        <v>952</v>
      </c>
      <c r="R477" s="3" t="s">
        <v>963</v>
      </c>
      <c r="S477" s="3" t="s">
        <v>963</v>
      </c>
      <c r="T477" s="3">
        <v>138762.03</v>
      </c>
      <c r="U477" s="3">
        <v>300</v>
      </c>
      <c r="V477" s="3">
        <v>462.5401</v>
      </c>
      <c r="W477" s="3">
        <v>84464.41</v>
      </c>
      <c r="X477" s="3">
        <v>208</v>
      </c>
      <c r="Y477" s="3">
        <v>406.07889419999998</v>
      </c>
    </row>
    <row r="478" spans="17:25" x14ac:dyDescent="0.25">
      <c r="Q478" s="3" t="s">
        <v>1489</v>
      </c>
      <c r="R478" s="3" t="s">
        <v>1622</v>
      </c>
      <c r="S478" s="3" t="s">
        <v>1742</v>
      </c>
      <c r="T478" s="3"/>
      <c r="U478" s="3"/>
      <c r="V478" s="3"/>
      <c r="W478" s="3">
        <v>83663.28</v>
      </c>
      <c r="X478" s="3">
        <v>41</v>
      </c>
      <c r="Y478" s="3">
        <v>2040.5678049999999</v>
      </c>
    </row>
    <row r="479" spans="17:25" x14ac:dyDescent="0.25">
      <c r="Q479" s="3" t="s">
        <v>971</v>
      </c>
      <c r="R479" s="3" t="s">
        <v>1006</v>
      </c>
      <c r="S479" s="3" t="s">
        <v>1042</v>
      </c>
      <c r="T479" s="3">
        <v>170044.01</v>
      </c>
      <c r="U479" s="3">
        <v>510</v>
      </c>
      <c r="V479" s="3">
        <v>333.41962749999999</v>
      </c>
      <c r="W479" s="3">
        <v>82737.33</v>
      </c>
      <c r="X479" s="3">
        <v>286</v>
      </c>
      <c r="Y479" s="3">
        <v>289.29136360000001</v>
      </c>
    </row>
    <row r="480" spans="17:25" x14ac:dyDescent="0.25">
      <c r="Q480" s="3" t="s">
        <v>972</v>
      </c>
      <c r="R480" s="3" t="s">
        <v>1007</v>
      </c>
      <c r="S480" s="3" t="s">
        <v>1043</v>
      </c>
      <c r="T480" s="3">
        <v>100828.57</v>
      </c>
      <c r="U480" s="3">
        <v>3389</v>
      </c>
      <c r="V480" s="3">
        <v>29.751717320000001</v>
      </c>
      <c r="W480" s="3">
        <v>82584.69</v>
      </c>
      <c r="X480" s="3">
        <v>1952</v>
      </c>
      <c r="Y480" s="3">
        <v>42.307730530000001</v>
      </c>
    </row>
    <row r="481" spans="17:25" x14ac:dyDescent="0.25">
      <c r="Q481" s="3" t="s">
        <v>973</v>
      </c>
      <c r="R481" s="3" t="s">
        <v>1008</v>
      </c>
      <c r="S481" s="3" t="s">
        <v>1044</v>
      </c>
      <c r="T481" s="3">
        <v>100220.28</v>
      </c>
      <c r="U481" s="3">
        <v>1054</v>
      </c>
      <c r="V481" s="3">
        <v>95.085654649999995</v>
      </c>
      <c r="W481" s="3">
        <v>78174.080000000002</v>
      </c>
      <c r="X481" s="3">
        <v>945</v>
      </c>
      <c r="Y481" s="3">
        <v>82.723894180000002</v>
      </c>
    </row>
    <row r="482" spans="17:25" x14ac:dyDescent="0.25">
      <c r="Q482" s="3" t="s">
        <v>974</v>
      </c>
      <c r="R482" s="3" t="s">
        <v>1009</v>
      </c>
      <c r="S482" s="3" t="s">
        <v>1009</v>
      </c>
      <c r="T482" s="3">
        <v>104841.8</v>
      </c>
      <c r="U482" s="3">
        <v>3501</v>
      </c>
      <c r="V482" s="3">
        <v>29.946243930000001</v>
      </c>
      <c r="W482" s="3">
        <v>76896.41</v>
      </c>
      <c r="X482" s="3">
        <v>2773</v>
      </c>
      <c r="Y482" s="3">
        <v>27.730403899999999</v>
      </c>
    </row>
    <row r="483" spans="17:25" x14ac:dyDescent="0.25">
      <c r="Q483" s="3" t="s">
        <v>975</v>
      </c>
      <c r="R483" s="3" t="s">
        <v>1010</v>
      </c>
      <c r="S483" s="3" t="s">
        <v>1045</v>
      </c>
      <c r="T483" s="3">
        <v>69891.399999999994</v>
      </c>
      <c r="U483" s="3">
        <v>14139</v>
      </c>
      <c r="V483" s="3">
        <v>4.943164297</v>
      </c>
      <c r="W483" s="3">
        <v>74982.25</v>
      </c>
      <c r="X483" s="3">
        <v>12708</v>
      </c>
      <c r="Y483" s="3">
        <v>5.900397388</v>
      </c>
    </row>
    <row r="484" spans="17:25" x14ac:dyDescent="0.25">
      <c r="Q484" s="3" t="s">
        <v>976</v>
      </c>
      <c r="R484" s="3" t="s">
        <v>1011</v>
      </c>
      <c r="S484" s="3" t="s">
        <v>1046</v>
      </c>
      <c r="T484" s="3">
        <v>38084.9</v>
      </c>
      <c r="U484" s="3">
        <v>22</v>
      </c>
      <c r="V484" s="3">
        <v>1731.1318180000001</v>
      </c>
      <c r="W484" s="3">
        <v>72750.38</v>
      </c>
      <c r="X484" s="3">
        <v>22</v>
      </c>
      <c r="Y484" s="3">
        <v>3306.8354549999999</v>
      </c>
    </row>
    <row r="485" spans="17:25" x14ac:dyDescent="0.25">
      <c r="Q485" s="3" t="s">
        <v>977</v>
      </c>
      <c r="R485" s="3" t="s">
        <v>1012</v>
      </c>
      <c r="S485" s="3" t="s">
        <v>761</v>
      </c>
      <c r="T485" s="3">
        <v>58035.06</v>
      </c>
      <c r="U485" s="3">
        <v>2798</v>
      </c>
      <c r="V485" s="3">
        <v>20.741622589999999</v>
      </c>
      <c r="W485" s="3">
        <v>72346.210000000006</v>
      </c>
      <c r="X485" s="3">
        <v>727</v>
      </c>
      <c r="Y485" s="3">
        <v>99.513356259999995</v>
      </c>
    </row>
    <row r="486" spans="17:25" x14ac:dyDescent="0.25">
      <c r="Q486" s="3" t="s">
        <v>978</v>
      </c>
      <c r="R486" s="3" t="s">
        <v>1013</v>
      </c>
      <c r="S486" s="3" t="s">
        <v>1047</v>
      </c>
      <c r="T486" s="3">
        <v>105170.14</v>
      </c>
      <c r="U486" s="3">
        <v>11073</v>
      </c>
      <c r="V486" s="3">
        <v>9.4978903639999999</v>
      </c>
      <c r="W486" s="3">
        <v>70153.3</v>
      </c>
      <c r="X486" s="3">
        <v>5587</v>
      </c>
      <c r="Y486" s="3">
        <v>12.55652407</v>
      </c>
    </row>
    <row r="487" spans="17:25" x14ac:dyDescent="0.25">
      <c r="Q487" s="3" t="s">
        <v>979</v>
      </c>
      <c r="R487" s="3" t="s">
        <v>1014</v>
      </c>
      <c r="S487" s="3" t="s">
        <v>1048</v>
      </c>
      <c r="T487" s="3">
        <v>881213.54</v>
      </c>
      <c r="U487" s="3">
        <v>149</v>
      </c>
      <c r="V487" s="3">
        <v>5914.1848319999999</v>
      </c>
      <c r="W487" s="3">
        <v>69013.52</v>
      </c>
      <c r="X487" s="3">
        <v>15</v>
      </c>
      <c r="Y487" s="3">
        <v>4600.9013329999998</v>
      </c>
    </row>
    <row r="488" spans="17:25" x14ac:dyDescent="0.25">
      <c r="Q488" s="3" t="s">
        <v>980</v>
      </c>
      <c r="R488" s="3" t="s">
        <v>1015</v>
      </c>
      <c r="S488" s="3" t="s">
        <v>1015</v>
      </c>
      <c r="T488" s="3">
        <v>197026.38</v>
      </c>
      <c r="U488" s="3">
        <v>2308</v>
      </c>
      <c r="V488" s="3">
        <v>85.366715769999999</v>
      </c>
      <c r="W488" s="3">
        <v>67562.94</v>
      </c>
      <c r="X488" s="3">
        <v>1316</v>
      </c>
      <c r="Y488" s="3">
        <v>51.339620060000001</v>
      </c>
    </row>
    <row r="489" spans="17:25" x14ac:dyDescent="0.25">
      <c r="Q489" s="3" t="s">
        <v>981</v>
      </c>
      <c r="R489" s="3" t="s">
        <v>1016</v>
      </c>
      <c r="S489" s="3" t="s">
        <v>1016</v>
      </c>
      <c r="T489" s="3">
        <v>125676.99</v>
      </c>
      <c r="U489" s="3">
        <v>8916</v>
      </c>
      <c r="V489" s="3">
        <v>14.095669579999999</v>
      </c>
      <c r="W489" s="3">
        <v>67004.7</v>
      </c>
      <c r="X489" s="3">
        <v>6035</v>
      </c>
      <c r="Y489" s="3">
        <v>11.10268434</v>
      </c>
    </row>
    <row r="490" spans="17:25" x14ac:dyDescent="0.25">
      <c r="Q490" s="3" t="s">
        <v>982</v>
      </c>
      <c r="R490" s="3" t="s">
        <v>1017</v>
      </c>
      <c r="S490" s="3" t="s">
        <v>1017</v>
      </c>
      <c r="T490" s="3">
        <v>50063.25</v>
      </c>
      <c r="U490" s="3">
        <v>4399</v>
      </c>
      <c r="V490" s="3">
        <v>11.38059786</v>
      </c>
      <c r="W490" s="3">
        <v>66503.03</v>
      </c>
      <c r="X490" s="3">
        <v>4863</v>
      </c>
      <c r="Y490" s="3">
        <v>13.675309479999999</v>
      </c>
    </row>
    <row r="491" spans="17:25" x14ac:dyDescent="0.25">
      <c r="Q491" s="3" t="s">
        <v>983</v>
      </c>
      <c r="R491" s="3" t="s">
        <v>1018</v>
      </c>
      <c r="S491" s="3" t="s">
        <v>1018</v>
      </c>
      <c r="T491" s="3">
        <v>342740.54</v>
      </c>
      <c r="U491" s="3">
        <v>74</v>
      </c>
      <c r="V491" s="3">
        <v>4631.6289189999998</v>
      </c>
      <c r="W491" s="3">
        <v>65247.48</v>
      </c>
      <c r="X491" s="3">
        <v>93</v>
      </c>
      <c r="Y491" s="3">
        <v>701.58580649999999</v>
      </c>
    </row>
    <row r="492" spans="17:25" x14ac:dyDescent="0.25">
      <c r="Q492" s="3">
        <v>90371</v>
      </c>
      <c r="R492" s="3" t="s">
        <v>1019</v>
      </c>
      <c r="S492" s="3" t="s">
        <v>1049</v>
      </c>
      <c r="T492" s="3">
        <v>137212.26</v>
      </c>
      <c r="U492" s="3">
        <v>139</v>
      </c>
      <c r="V492" s="3">
        <v>987.13856120000003</v>
      </c>
      <c r="W492" s="3">
        <v>63082.52</v>
      </c>
      <c r="X492" s="3">
        <v>70</v>
      </c>
      <c r="Y492" s="3">
        <v>901.17885709999996</v>
      </c>
    </row>
    <row r="493" spans="17:25" x14ac:dyDescent="0.25">
      <c r="Q493" s="3" t="s">
        <v>984</v>
      </c>
      <c r="R493" s="3" t="s">
        <v>1020</v>
      </c>
      <c r="S493" s="3" t="s">
        <v>1020</v>
      </c>
      <c r="T493" s="3">
        <v>850125</v>
      </c>
      <c r="U493" s="3">
        <v>26</v>
      </c>
      <c r="V493" s="3">
        <v>32697.115389999999</v>
      </c>
      <c r="W493" s="3">
        <v>62602.7</v>
      </c>
      <c r="X493" s="3"/>
      <c r="Y493" s="3"/>
    </row>
    <row r="494" spans="17:25" x14ac:dyDescent="0.25">
      <c r="Q494" s="3" t="s">
        <v>985</v>
      </c>
      <c r="R494" s="3" t="s">
        <v>1021</v>
      </c>
      <c r="S494" s="3" t="s">
        <v>1050</v>
      </c>
      <c r="T494" s="3">
        <v>109161.49</v>
      </c>
      <c r="U494" s="3">
        <v>1036</v>
      </c>
      <c r="V494" s="3">
        <v>105.3682336</v>
      </c>
      <c r="W494" s="3">
        <v>61586.720000000001</v>
      </c>
      <c r="X494" s="3">
        <v>577</v>
      </c>
      <c r="Y494" s="3">
        <v>106.7360832</v>
      </c>
    </row>
    <row r="495" spans="17:25" x14ac:dyDescent="0.25">
      <c r="Q495" s="3" t="s">
        <v>986</v>
      </c>
      <c r="R495" s="3" t="s">
        <v>1022</v>
      </c>
      <c r="S495" s="3" t="s">
        <v>1051</v>
      </c>
      <c r="T495" s="3">
        <v>105661.63</v>
      </c>
      <c r="U495" s="3">
        <v>6084</v>
      </c>
      <c r="V495" s="3">
        <v>17.367131820000001</v>
      </c>
      <c r="W495" s="3">
        <v>60442.74</v>
      </c>
      <c r="X495" s="3">
        <v>3941</v>
      </c>
      <c r="Y495" s="3">
        <v>15.33690434</v>
      </c>
    </row>
    <row r="496" spans="17:25" x14ac:dyDescent="0.25">
      <c r="Q496" s="3" t="s">
        <v>987</v>
      </c>
      <c r="R496" s="3" t="s">
        <v>1023</v>
      </c>
      <c r="S496" s="3" t="s">
        <v>1023</v>
      </c>
      <c r="T496" s="3">
        <v>69682.81</v>
      </c>
      <c r="U496" s="3">
        <v>112057</v>
      </c>
      <c r="V496" s="3">
        <v>0.62185146800000002</v>
      </c>
      <c r="W496" s="3">
        <v>59468.58</v>
      </c>
      <c r="X496" s="3">
        <v>90270</v>
      </c>
      <c r="Y496" s="3">
        <v>0.65878564299999998</v>
      </c>
    </row>
    <row r="497" spans="17:25" x14ac:dyDescent="0.25">
      <c r="Q497" s="3" t="s">
        <v>988</v>
      </c>
      <c r="R497" s="3" t="s">
        <v>1024</v>
      </c>
      <c r="S497" s="3" t="s">
        <v>1052</v>
      </c>
      <c r="T497" s="3">
        <v>13429.73</v>
      </c>
      <c r="U497" s="3">
        <v>181</v>
      </c>
      <c r="V497" s="3">
        <v>74.197403320000006</v>
      </c>
      <c r="W497" s="3">
        <v>57396.7</v>
      </c>
      <c r="X497" s="3">
        <v>180</v>
      </c>
      <c r="Y497" s="3">
        <v>318.87055559999999</v>
      </c>
    </row>
    <row r="498" spans="17:25" x14ac:dyDescent="0.25">
      <c r="Q498" s="3" t="s">
        <v>989</v>
      </c>
      <c r="R498" s="3" t="s">
        <v>1025</v>
      </c>
      <c r="S498" s="3" t="s">
        <v>1025</v>
      </c>
      <c r="T498" s="3">
        <v>59334.78</v>
      </c>
      <c r="U498" s="3">
        <v>231</v>
      </c>
      <c r="V498" s="3">
        <v>256.86051950000001</v>
      </c>
      <c r="W498" s="3">
        <v>55958.57</v>
      </c>
      <c r="X498" s="3">
        <v>122</v>
      </c>
      <c r="Y498" s="3">
        <v>458.67680330000002</v>
      </c>
    </row>
    <row r="499" spans="17:25" x14ac:dyDescent="0.25">
      <c r="Q499" s="3" t="s">
        <v>990</v>
      </c>
      <c r="R499" s="3" t="s">
        <v>1026</v>
      </c>
      <c r="S499" s="3" t="s">
        <v>1053</v>
      </c>
      <c r="T499" s="3">
        <v>98194.45</v>
      </c>
      <c r="U499" s="3">
        <v>3100</v>
      </c>
      <c r="V499" s="3">
        <v>31.67562903</v>
      </c>
      <c r="W499" s="3">
        <v>54968.88</v>
      </c>
      <c r="X499" s="3">
        <v>2905</v>
      </c>
      <c r="Y499" s="3">
        <v>18.922161790000001</v>
      </c>
    </row>
    <row r="500" spans="17:25" x14ac:dyDescent="0.25">
      <c r="Q500" s="3" t="s">
        <v>991</v>
      </c>
      <c r="R500" s="3" t="s">
        <v>1027</v>
      </c>
      <c r="S500" s="3" t="s">
        <v>1054</v>
      </c>
      <c r="T500" s="3">
        <v>503944.06</v>
      </c>
      <c r="U500" s="3">
        <v>256</v>
      </c>
      <c r="V500" s="3">
        <v>1968.5314840000001</v>
      </c>
      <c r="W500" s="3">
        <v>54746.94</v>
      </c>
      <c r="X500" s="3">
        <v>44</v>
      </c>
      <c r="Y500" s="3">
        <v>1244.248636</v>
      </c>
    </row>
    <row r="501" spans="17:25" x14ac:dyDescent="0.25">
      <c r="Q501" s="3" t="s">
        <v>992</v>
      </c>
      <c r="R501" s="3" t="s">
        <v>1028</v>
      </c>
      <c r="S501" s="3" t="s">
        <v>1055</v>
      </c>
      <c r="T501" s="3">
        <v>57657.39</v>
      </c>
      <c r="U501" s="3">
        <v>9452</v>
      </c>
      <c r="V501" s="3">
        <v>6.1000201020000002</v>
      </c>
      <c r="W501" s="3">
        <v>52359.5</v>
      </c>
      <c r="X501" s="3">
        <v>10880</v>
      </c>
      <c r="Y501" s="3">
        <v>4.8124540439999999</v>
      </c>
    </row>
    <row r="502" spans="17:25" x14ac:dyDescent="0.25">
      <c r="Q502" s="3" t="s">
        <v>993</v>
      </c>
      <c r="R502" s="3" t="s">
        <v>1029</v>
      </c>
      <c r="S502" s="3" t="s">
        <v>1029</v>
      </c>
      <c r="T502" s="3">
        <v>121603.83</v>
      </c>
      <c r="U502" s="3">
        <v>1560</v>
      </c>
      <c r="V502" s="3">
        <v>77.951173080000004</v>
      </c>
      <c r="W502" s="3">
        <v>52084.47</v>
      </c>
      <c r="X502" s="3">
        <v>730</v>
      </c>
      <c r="Y502" s="3">
        <v>71.348589039999993</v>
      </c>
    </row>
    <row r="503" spans="17:25" x14ac:dyDescent="0.25">
      <c r="Q503" s="3" t="s">
        <v>994</v>
      </c>
      <c r="R503" s="3" t="s">
        <v>1030</v>
      </c>
      <c r="S503" s="3" t="s">
        <v>1030</v>
      </c>
      <c r="T503" s="3">
        <v>380628.26</v>
      </c>
      <c r="U503" s="3">
        <v>789</v>
      </c>
      <c r="V503" s="3">
        <v>482.41858050000002</v>
      </c>
      <c r="W503" s="3">
        <v>50329.41</v>
      </c>
      <c r="X503" s="3">
        <v>112</v>
      </c>
      <c r="Y503" s="3">
        <v>449.36973210000002</v>
      </c>
    </row>
    <row r="504" spans="17:25" x14ac:dyDescent="0.25">
      <c r="Q504" s="3" t="s">
        <v>995</v>
      </c>
      <c r="R504" s="3" t="s">
        <v>1031</v>
      </c>
      <c r="S504" s="3" t="s">
        <v>1031</v>
      </c>
      <c r="T504" s="3">
        <v>49687.519999999997</v>
      </c>
      <c r="U504" s="3">
        <v>2489</v>
      </c>
      <c r="V504" s="3">
        <v>19.962844520000001</v>
      </c>
      <c r="W504" s="3">
        <v>50174.89</v>
      </c>
      <c r="X504" s="3">
        <v>1909</v>
      </c>
      <c r="Y504" s="3">
        <v>26.28333683</v>
      </c>
    </row>
    <row r="505" spans="17:25" x14ac:dyDescent="0.25">
      <c r="Q505" s="3" t="s">
        <v>996</v>
      </c>
      <c r="R505" s="3" t="s">
        <v>1032</v>
      </c>
      <c r="S505" s="3" t="s">
        <v>1056</v>
      </c>
      <c r="T505" s="3">
        <v>94212.87</v>
      </c>
      <c r="U505" s="3">
        <v>715</v>
      </c>
      <c r="V505" s="3">
        <v>131.76625179999999</v>
      </c>
      <c r="W505" s="3">
        <v>49969.34</v>
      </c>
      <c r="X505" s="3">
        <v>286</v>
      </c>
      <c r="Y505" s="3">
        <v>174.717972</v>
      </c>
    </row>
    <row r="506" spans="17:25" x14ac:dyDescent="0.25">
      <c r="Q506" s="3" t="s">
        <v>997</v>
      </c>
      <c r="R506" s="3" t="s">
        <v>1033</v>
      </c>
      <c r="S506" s="3" t="s">
        <v>1057</v>
      </c>
      <c r="T506" s="3">
        <v>12573.25</v>
      </c>
      <c r="U506" s="3">
        <v>106</v>
      </c>
      <c r="V506" s="3">
        <v>118.615566</v>
      </c>
      <c r="W506" s="3">
        <v>49493.48</v>
      </c>
      <c r="X506" s="3">
        <v>146</v>
      </c>
      <c r="Y506" s="3">
        <v>338.99643839999999</v>
      </c>
    </row>
    <row r="507" spans="17:25" x14ac:dyDescent="0.25">
      <c r="Q507" s="3" t="s">
        <v>998</v>
      </c>
      <c r="R507" s="3" t="s">
        <v>1034</v>
      </c>
      <c r="S507" s="3" t="s">
        <v>1058</v>
      </c>
      <c r="T507" s="3">
        <v>31979.48</v>
      </c>
      <c r="U507" s="3">
        <v>1886</v>
      </c>
      <c r="V507" s="3">
        <v>16.956246019999998</v>
      </c>
      <c r="W507" s="3">
        <v>47649.77</v>
      </c>
      <c r="X507" s="3">
        <v>716</v>
      </c>
      <c r="Y507" s="3">
        <v>66.549958099999998</v>
      </c>
    </row>
    <row r="508" spans="17:25" x14ac:dyDescent="0.25">
      <c r="Q508" s="3" t="s">
        <v>999</v>
      </c>
      <c r="R508" s="3" t="s">
        <v>1035</v>
      </c>
      <c r="S508" s="3" t="s">
        <v>1035</v>
      </c>
      <c r="T508" s="3">
        <v>64635.74</v>
      </c>
      <c r="U508" s="3">
        <v>1378</v>
      </c>
      <c r="V508" s="3">
        <v>46.9054717</v>
      </c>
      <c r="W508" s="3">
        <v>45424.639999999999</v>
      </c>
      <c r="X508" s="3">
        <v>721</v>
      </c>
      <c r="Y508" s="3">
        <v>63.002274620000001</v>
      </c>
    </row>
    <row r="509" spans="17:25" x14ac:dyDescent="0.25">
      <c r="Q509" s="3" t="s">
        <v>1000</v>
      </c>
      <c r="R509" s="3" t="s">
        <v>1036</v>
      </c>
      <c r="S509" s="3" t="s">
        <v>1036</v>
      </c>
      <c r="T509" s="3">
        <v>89410.35</v>
      </c>
      <c r="U509" s="3">
        <v>26350</v>
      </c>
      <c r="V509" s="3">
        <v>3.3931821630000001</v>
      </c>
      <c r="W509" s="3">
        <v>44700.99</v>
      </c>
      <c r="X509" s="3">
        <v>21257</v>
      </c>
      <c r="Y509" s="3">
        <v>2.102883286</v>
      </c>
    </row>
    <row r="510" spans="17:25" x14ac:dyDescent="0.25">
      <c r="Q510" s="3" t="s">
        <v>1001</v>
      </c>
      <c r="R510" s="3" t="s">
        <v>1037</v>
      </c>
      <c r="S510" s="3" t="s">
        <v>1059</v>
      </c>
      <c r="T510" s="3">
        <v>128797.97</v>
      </c>
      <c r="U510" s="3">
        <v>29</v>
      </c>
      <c r="V510" s="3">
        <v>4441.3093099999996</v>
      </c>
      <c r="W510" s="3">
        <v>43542.3</v>
      </c>
      <c r="X510" s="3">
        <v>20</v>
      </c>
      <c r="Y510" s="3">
        <v>2177.1149999999998</v>
      </c>
    </row>
    <row r="511" spans="17:25" x14ac:dyDescent="0.25">
      <c r="Q511" s="3" t="s">
        <v>1002</v>
      </c>
      <c r="R511" s="3" t="s">
        <v>1038</v>
      </c>
      <c r="S511" s="3" t="s">
        <v>1060</v>
      </c>
      <c r="T511" s="3">
        <v>215557.69</v>
      </c>
      <c r="U511" s="3">
        <v>232</v>
      </c>
      <c r="V511" s="3">
        <v>929.12797409999996</v>
      </c>
      <c r="W511" s="3">
        <v>42812.15</v>
      </c>
      <c r="X511" s="3">
        <v>96</v>
      </c>
      <c r="Y511" s="3">
        <v>445.95989580000003</v>
      </c>
    </row>
    <row r="512" spans="17:25" x14ac:dyDescent="0.25">
      <c r="Q512" s="3" t="s">
        <v>1003</v>
      </c>
      <c r="R512" s="3" t="s">
        <v>1039</v>
      </c>
      <c r="S512" s="3" t="s">
        <v>1061</v>
      </c>
      <c r="T512" s="3">
        <v>149449.42000000001</v>
      </c>
      <c r="U512" s="3">
        <v>620</v>
      </c>
      <c r="V512" s="3">
        <v>241.04745159999999</v>
      </c>
      <c r="W512" s="3">
        <v>42285.07</v>
      </c>
      <c r="X512" s="3">
        <v>90</v>
      </c>
      <c r="Y512" s="3">
        <v>469.83411109999997</v>
      </c>
    </row>
    <row r="513" spans="17:25" x14ac:dyDescent="0.25">
      <c r="Q513" s="3" t="s">
        <v>1004</v>
      </c>
      <c r="R513" s="3" t="s">
        <v>1040</v>
      </c>
      <c r="S513" s="3" t="s">
        <v>1040</v>
      </c>
      <c r="T513" s="3">
        <v>83723.34</v>
      </c>
      <c r="U513" s="3">
        <v>811</v>
      </c>
      <c r="V513" s="3">
        <v>103.2346979</v>
      </c>
      <c r="W513" s="3">
        <v>41654.019999999997</v>
      </c>
      <c r="X513" s="3">
        <v>429</v>
      </c>
      <c r="Y513" s="3">
        <v>97.095617720000007</v>
      </c>
    </row>
    <row r="514" spans="17:25" x14ac:dyDescent="0.25">
      <c r="Q514" s="3" t="s">
        <v>1005</v>
      </c>
      <c r="R514" s="3" t="s">
        <v>1041</v>
      </c>
      <c r="S514" s="3" t="s">
        <v>1041</v>
      </c>
      <c r="T514" s="3">
        <v>56939.61</v>
      </c>
      <c r="U514" s="3">
        <v>304</v>
      </c>
      <c r="V514" s="3">
        <v>187.30134870000001</v>
      </c>
      <c r="W514" s="3">
        <v>41277.919999999998</v>
      </c>
      <c r="X514" s="3">
        <v>225</v>
      </c>
      <c r="Y514" s="3">
        <v>183.4574222</v>
      </c>
    </row>
    <row r="515" spans="17:25" x14ac:dyDescent="0.25">
      <c r="Q515" s="3">
        <v>90377</v>
      </c>
      <c r="R515" s="3" t="s">
        <v>1623</v>
      </c>
      <c r="S515" s="3" t="s">
        <v>728</v>
      </c>
      <c r="T515" s="3"/>
      <c r="U515" s="3"/>
      <c r="V515" s="3"/>
      <c r="W515" s="3">
        <v>41097.879999999997</v>
      </c>
      <c r="X515" s="3">
        <v>16</v>
      </c>
      <c r="Y515" s="3">
        <v>2568.6174999999998</v>
      </c>
    </row>
    <row r="516" spans="17:25" x14ac:dyDescent="0.25">
      <c r="Q516" s="3" t="s">
        <v>1062</v>
      </c>
      <c r="R516" s="3" t="s">
        <v>1067</v>
      </c>
      <c r="S516" s="3" t="s">
        <v>1067</v>
      </c>
      <c r="T516" s="3">
        <v>1458.26</v>
      </c>
      <c r="U516" s="3">
        <v>47</v>
      </c>
      <c r="V516" s="3">
        <v>31.026808509999999</v>
      </c>
      <c r="W516" s="3">
        <v>40614.339999999997</v>
      </c>
      <c r="X516" s="3">
        <v>47</v>
      </c>
      <c r="Y516" s="3">
        <v>864.13489360000005</v>
      </c>
    </row>
    <row r="517" spans="17:25" x14ac:dyDescent="0.25">
      <c r="Q517" s="3" t="s">
        <v>1063</v>
      </c>
      <c r="R517" s="3" t="s">
        <v>1068</v>
      </c>
      <c r="S517" s="3" t="s">
        <v>1068</v>
      </c>
      <c r="T517" s="3">
        <v>105924.52</v>
      </c>
      <c r="U517" s="3">
        <v>5324</v>
      </c>
      <c r="V517" s="3">
        <v>19.895664910000001</v>
      </c>
      <c r="W517" s="3">
        <v>40592.76</v>
      </c>
      <c r="X517" s="3">
        <v>4024</v>
      </c>
      <c r="Y517" s="3">
        <v>10.08766402</v>
      </c>
    </row>
    <row r="518" spans="17:25" x14ac:dyDescent="0.25">
      <c r="Q518" s="3" t="s">
        <v>1064</v>
      </c>
      <c r="R518" s="3" t="s">
        <v>1069</v>
      </c>
      <c r="S518" s="3" t="s">
        <v>1072</v>
      </c>
      <c r="T518" s="3">
        <v>23190.41</v>
      </c>
      <c r="U518" s="3">
        <v>10160</v>
      </c>
      <c r="V518" s="3">
        <v>2.2825206690000002</v>
      </c>
      <c r="W518" s="3">
        <v>40586.92</v>
      </c>
      <c r="X518" s="3">
        <v>15037</v>
      </c>
      <c r="Y518" s="3">
        <v>2.6991367959999999</v>
      </c>
    </row>
    <row r="519" spans="17:25" x14ac:dyDescent="0.25">
      <c r="Q519" s="3" t="s">
        <v>1065</v>
      </c>
      <c r="R519" s="3" t="s">
        <v>1070</v>
      </c>
      <c r="S519" s="3" t="s">
        <v>1073</v>
      </c>
      <c r="T519" s="3">
        <v>12132.62</v>
      </c>
      <c r="U519" s="3">
        <v>19</v>
      </c>
      <c r="V519" s="3">
        <v>638.55894739999997</v>
      </c>
      <c r="W519" s="3">
        <v>39529.129999999997</v>
      </c>
      <c r="X519" s="3">
        <v>31</v>
      </c>
      <c r="Y519" s="3">
        <v>1275.1332259999999</v>
      </c>
    </row>
    <row r="520" spans="17:25" x14ac:dyDescent="0.25">
      <c r="Q520" s="3" t="s">
        <v>1066</v>
      </c>
      <c r="R520" s="3" t="s">
        <v>1071</v>
      </c>
      <c r="S520" s="3" t="s">
        <v>1074</v>
      </c>
      <c r="T520" s="3">
        <v>26822.84</v>
      </c>
      <c r="U520" s="3">
        <v>7495</v>
      </c>
      <c r="V520" s="3">
        <v>3.5787645100000001</v>
      </c>
      <c r="W520" s="3">
        <v>36637.919999999998</v>
      </c>
      <c r="X520" s="3">
        <v>3788</v>
      </c>
      <c r="Y520" s="3">
        <v>9.6721013730000003</v>
      </c>
    </row>
    <row r="521" spans="17:25" x14ac:dyDescent="0.25">
      <c r="Q521" s="3" t="s">
        <v>1490</v>
      </c>
      <c r="R521" s="3" t="s">
        <v>1624</v>
      </c>
      <c r="S521" s="3" t="s">
        <v>1743</v>
      </c>
      <c r="T521" s="3"/>
      <c r="U521" s="3"/>
      <c r="V521" s="3"/>
      <c r="W521" s="3">
        <v>35885.78</v>
      </c>
      <c r="X521" s="3">
        <v>14</v>
      </c>
      <c r="Y521" s="3">
        <v>2563.27</v>
      </c>
    </row>
    <row r="522" spans="17:25" x14ac:dyDescent="0.25">
      <c r="Q522" s="3" t="s">
        <v>1075</v>
      </c>
      <c r="R522" s="3" t="s">
        <v>1081</v>
      </c>
      <c r="S522" s="3" t="s">
        <v>1087</v>
      </c>
      <c r="T522" s="3">
        <v>26636.73</v>
      </c>
      <c r="U522" s="3">
        <v>328</v>
      </c>
      <c r="V522" s="3">
        <v>81.209542679999998</v>
      </c>
      <c r="W522" s="3">
        <v>34538.04</v>
      </c>
      <c r="X522" s="3">
        <v>330</v>
      </c>
      <c r="Y522" s="3">
        <v>104.6607273</v>
      </c>
    </row>
    <row r="523" spans="17:25" x14ac:dyDescent="0.25">
      <c r="Q523" s="3" t="s">
        <v>1076</v>
      </c>
      <c r="R523" s="3" t="s">
        <v>1082</v>
      </c>
      <c r="S523" s="3" t="s">
        <v>1088</v>
      </c>
      <c r="T523" s="3">
        <v>81213.7</v>
      </c>
      <c r="U523" s="3">
        <v>237</v>
      </c>
      <c r="V523" s="3">
        <v>342.67383969999997</v>
      </c>
      <c r="W523" s="3">
        <v>30866.36</v>
      </c>
      <c r="X523" s="3">
        <v>110</v>
      </c>
      <c r="Y523" s="3">
        <v>280.60327269999999</v>
      </c>
    </row>
    <row r="524" spans="17:25" x14ac:dyDescent="0.25">
      <c r="Q524" s="3" t="s">
        <v>1077</v>
      </c>
      <c r="R524" s="3" t="s">
        <v>1083</v>
      </c>
      <c r="S524" s="3" t="s">
        <v>1083</v>
      </c>
      <c r="T524" s="3">
        <v>51126.96</v>
      </c>
      <c r="U524" s="3">
        <v>233</v>
      </c>
      <c r="V524" s="3">
        <v>219.4290129</v>
      </c>
      <c r="W524" s="3">
        <v>29577.72</v>
      </c>
      <c r="X524" s="3">
        <v>202</v>
      </c>
      <c r="Y524" s="3">
        <v>146.42435639999999</v>
      </c>
    </row>
    <row r="525" spans="17:25" x14ac:dyDescent="0.25">
      <c r="Q525" s="3" t="s">
        <v>1078</v>
      </c>
      <c r="R525" s="3" t="s">
        <v>1084</v>
      </c>
      <c r="S525" s="3" t="s">
        <v>1084</v>
      </c>
      <c r="T525" s="3">
        <v>39305.64</v>
      </c>
      <c r="U525" s="3">
        <v>2717</v>
      </c>
      <c r="V525" s="3">
        <v>14.4665587</v>
      </c>
      <c r="W525" s="3">
        <v>29474.6</v>
      </c>
      <c r="X525" s="3">
        <v>1947</v>
      </c>
      <c r="Y525" s="3">
        <v>15.13846944</v>
      </c>
    </row>
    <row r="526" spans="17:25" x14ac:dyDescent="0.25">
      <c r="Q526" s="3" t="s">
        <v>1079</v>
      </c>
      <c r="R526" s="3" t="s">
        <v>1085</v>
      </c>
      <c r="S526" s="3" t="s">
        <v>186</v>
      </c>
      <c r="T526" s="3">
        <v>37905.93</v>
      </c>
      <c r="U526" s="3">
        <v>36</v>
      </c>
      <c r="V526" s="3">
        <v>1052.9425000000001</v>
      </c>
      <c r="W526" s="3">
        <v>29112.93</v>
      </c>
      <c r="X526" s="3">
        <v>30</v>
      </c>
      <c r="Y526" s="3">
        <v>970.43100000000004</v>
      </c>
    </row>
    <row r="527" spans="17:25" x14ac:dyDescent="0.25">
      <c r="Q527" s="3" t="s">
        <v>1080</v>
      </c>
      <c r="R527" s="3" t="s">
        <v>1086</v>
      </c>
      <c r="S527" s="3" t="s">
        <v>1086</v>
      </c>
      <c r="T527" s="3">
        <v>112649.06</v>
      </c>
      <c r="U527" s="3"/>
      <c r="V527" s="3"/>
      <c r="W527" s="3">
        <v>28303.57</v>
      </c>
      <c r="X527" s="3">
        <v>15</v>
      </c>
      <c r="Y527" s="3">
        <v>1886.904667</v>
      </c>
    </row>
    <row r="528" spans="17:25" x14ac:dyDescent="0.25">
      <c r="Q528" s="3" t="s">
        <v>1491</v>
      </c>
      <c r="R528" s="3" t="s">
        <v>1625</v>
      </c>
      <c r="S528" s="3" t="s">
        <v>1744</v>
      </c>
      <c r="T528" s="3"/>
      <c r="U528" s="3"/>
      <c r="V528" s="3"/>
      <c r="W528" s="3">
        <v>28038.69</v>
      </c>
      <c r="X528" s="3">
        <v>11</v>
      </c>
      <c r="Y528" s="3">
        <v>2548.971818</v>
      </c>
    </row>
    <row r="529" spans="17:25" x14ac:dyDescent="0.25">
      <c r="Q529" s="3" t="s">
        <v>1089</v>
      </c>
      <c r="R529" s="3" t="s">
        <v>1095</v>
      </c>
      <c r="S529" s="3" t="s">
        <v>1101</v>
      </c>
      <c r="T529" s="3">
        <v>16283.15</v>
      </c>
      <c r="U529" s="3">
        <v>17</v>
      </c>
      <c r="V529" s="3">
        <v>957.83235290000005</v>
      </c>
      <c r="W529" s="3">
        <v>27500.98</v>
      </c>
      <c r="X529" s="3">
        <v>23</v>
      </c>
      <c r="Y529" s="3">
        <v>1195.6947829999999</v>
      </c>
    </row>
    <row r="530" spans="17:25" x14ac:dyDescent="0.25">
      <c r="Q530" s="3" t="s">
        <v>1090</v>
      </c>
      <c r="R530" s="3" t="s">
        <v>1096</v>
      </c>
      <c r="S530" s="3" t="s">
        <v>1102</v>
      </c>
      <c r="T530" s="3">
        <v>302266.28999999998</v>
      </c>
      <c r="U530" s="3">
        <v>1610</v>
      </c>
      <c r="V530" s="3">
        <v>187.7430373</v>
      </c>
      <c r="W530" s="3">
        <v>27431.88</v>
      </c>
      <c r="X530" s="3">
        <v>238</v>
      </c>
      <c r="Y530" s="3">
        <v>115.26</v>
      </c>
    </row>
    <row r="531" spans="17:25" x14ac:dyDescent="0.25">
      <c r="Q531" s="3" t="s">
        <v>1091</v>
      </c>
      <c r="R531" s="3" t="s">
        <v>1097</v>
      </c>
      <c r="S531" s="3" t="s">
        <v>1097</v>
      </c>
      <c r="T531" s="3">
        <v>16151.93</v>
      </c>
      <c r="U531" s="3">
        <v>109</v>
      </c>
      <c r="V531" s="3">
        <v>148.18284399999999</v>
      </c>
      <c r="W531" s="3">
        <v>25977.37</v>
      </c>
      <c r="X531" s="3">
        <v>207</v>
      </c>
      <c r="Y531" s="3">
        <v>125.49454110000001</v>
      </c>
    </row>
    <row r="532" spans="17:25" x14ac:dyDescent="0.25">
      <c r="Q532" s="3" t="s">
        <v>1092</v>
      </c>
      <c r="R532" s="3" t="s">
        <v>1098</v>
      </c>
      <c r="S532" s="3" t="s">
        <v>1103</v>
      </c>
      <c r="T532" s="3">
        <v>181070.97</v>
      </c>
      <c r="U532" s="3">
        <v>202</v>
      </c>
      <c r="V532" s="3">
        <v>896.39094060000002</v>
      </c>
      <c r="W532" s="3">
        <v>25495.94</v>
      </c>
      <c r="X532" s="3">
        <v>69</v>
      </c>
      <c r="Y532" s="3">
        <v>369.5063768</v>
      </c>
    </row>
    <row r="533" spans="17:25" x14ac:dyDescent="0.25">
      <c r="Q533" s="3" t="s">
        <v>1093</v>
      </c>
      <c r="R533" s="3" t="s">
        <v>1099</v>
      </c>
      <c r="S533" s="3" t="s">
        <v>1099</v>
      </c>
      <c r="T533" s="3">
        <v>40375.65</v>
      </c>
      <c r="U533" s="3">
        <v>2864</v>
      </c>
      <c r="V533" s="3">
        <v>14.097643160000001</v>
      </c>
      <c r="W533" s="3">
        <v>23846.46</v>
      </c>
      <c r="X533" s="3">
        <v>1979</v>
      </c>
      <c r="Y533" s="3">
        <v>12.049752399999999</v>
      </c>
    </row>
    <row r="534" spans="17:25" x14ac:dyDescent="0.25">
      <c r="Q534" s="3" t="s">
        <v>1094</v>
      </c>
      <c r="R534" s="3" t="s">
        <v>1100</v>
      </c>
      <c r="S534" s="3" t="s">
        <v>1104</v>
      </c>
      <c r="T534" s="3">
        <v>892889.75</v>
      </c>
      <c r="U534" s="3">
        <v>610</v>
      </c>
      <c r="V534" s="3">
        <v>1463.7536889999999</v>
      </c>
      <c r="W534" s="3">
        <v>23783.98</v>
      </c>
      <c r="X534" s="3">
        <v>19</v>
      </c>
      <c r="Y534" s="3">
        <v>1251.788421</v>
      </c>
    </row>
    <row r="535" spans="17:25" x14ac:dyDescent="0.25">
      <c r="Q535" s="3" t="s">
        <v>1492</v>
      </c>
      <c r="R535" s="3" t="s">
        <v>1626</v>
      </c>
      <c r="S535" s="3" t="s">
        <v>1290</v>
      </c>
      <c r="T535" s="3">
        <v>11058.05</v>
      </c>
      <c r="U535" s="3">
        <v>19</v>
      </c>
      <c r="V535" s="3">
        <v>582.00263159999997</v>
      </c>
      <c r="W535" s="3">
        <v>23244.98</v>
      </c>
      <c r="X535" s="3">
        <v>39</v>
      </c>
      <c r="Y535" s="3">
        <v>596.02512820000004</v>
      </c>
    </row>
    <row r="536" spans="17:25" x14ac:dyDescent="0.25">
      <c r="Q536" s="3" t="s">
        <v>1105</v>
      </c>
      <c r="R536" s="3" t="s">
        <v>1109</v>
      </c>
      <c r="S536" s="3" t="s">
        <v>1053</v>
      </c>
      <c r="T536" s="3">
        <v>49693.52</v>
      </c>
      <c r="U536" s="3">
        <v>4735</v>
      </c>
      <c r="V536" s="3">
        <v>10.494935590000001</v>
      </c>
      <c r="W536" s="3">
        <v>22953.45</v>
      </c>
      <c r="X536" s="3">
        <v>2738</v>
      </c>
      <c r="Y536" s="3">
        <v>8.383290723</v>
      </c>
    </row>
    <row r="537" spans="17:25" x14ac:dyDescent="0.25">
      <c r="Q537" s="3" t="s">
        <v>1106</v>
      </c>
      <c r="R537" s="3" t="s">
        <v>1110</v>
      </c>
      <c r="S537" s="3" t="s">
        <v>1114</v>
      </c>
      <c r="T537" s="3">
        <v>199827.78</v>
      </c>
      <c r="U537" s="3">
        <v>5680</v>
      </c>
      <c r="V537" s="3">
        <v>35.180947179999997</v>
      </c>
      <c r="W537" s="3">
        <v>22788.03</v>
      </c>
      <c r="X537" s="3">
        <v>3948</v>
      </c>
      <c r="Y537" s="3">
        <v>5.772044073</v>
      </c>
    </row>
    <row r="538" spans="17:25" x14ac:dyDescent="0.25">
      <c r="Q538" s="3" t="s">
        <v>1107</v>
      </c>
      <c r="R538" s="3" t="s">
        <v>1111</v>
      </c>
      <c r="S538" s="3" t="s">
        <v>1115</v>
      </c>
      <c r="T538" s="3">
        <v>75097.740000000005</v>
      </c>
      <c r="U538" s="3">
        <v>20</v>
      </c>
      <c r="V538" s="3">
        <v>3754.8870000000002</v>
      </c>
      <c r="W538" s="3">
        <v>22672.41</v>
      </c>
      <c r="X538" s="3"/>
      <c r="Y538" s="3"/>
    </row>
    <row r="539" spans="17:25" x14ac:dyDescent="0.25">
      <c r="Q539" s="3" t="s">
        <v>1108</v>
      </c>
      <c r="R539" s="3" t="s">
        <v>1112</v>
      </c>
      <c r="S539" s="3" t="s">
        <v>1116</v>
      </c>
      <c r="T539" s="3">
        <v>28928.560000000001</v>
      </c>
      <c r="U539" s="3">
        <v>352</v>
      </c>
      <c r="V539" s="3">
        <v>82.183409089999998</v>
      </c>
      <c r="W539" s="3">
        <v>22572.25</v>
      </c>
      <c r="X539" s="3">
        <v>275</v>
      </c>
      <c r="Y539" s="3">
        <v>82.080909090000006</v>
      </c>
    </row>
    <row r="540" spans="17:25" x14ac:dyDescent="0.25">
      <c r="Q540" s="3">
        <v>90744</v>
      </c>
      <c r="R540" s="3" t="s">
        <v>1113</v>
      </c>
      <c r="S540" s="3" t="s">
        <v>408</v>
      </c>
      <c r="T540" s="3">
        <v>49299.25</v>
      </c>
      <c r="U540" s="3">
        <v>637</v>
      </c>
      <c r="V540" s="3">
        <v>77.392857140000004</v>
      </c>
      <c r="W540" s="3">
        <v>20949.689999999999</v>
      </c>
      <c r="X540" s="3">
        <v>310</v>
      </c>
      <c r="Y540" s="3">
        <v>67.579645159999998</v>
      </c>
    </row>
    <row r="541" spans="17:25" x14ac:dyDescent="0.25">
      <c r="Q541" s="3" t="s">
        <v>1493</v>
      </c>
      <c r="R541" s="3" t="s">
        <v>1627</v>
      </c>
      <c r="S541" s="3" t="s">
        <v>1745</v>
      </c>
      <c r="T541" s="3"/>
      <c r="U541" s="3"/>
      <c r="V541" s="3"/>
      <c r="W541" s="3">
        <v>19918.580000000002</v>
      </c>
      <c r="X541" s="3">
        <v>24</v>
      </c>
      <c r="Y541" s="3">
        <v>829.94083330000001</v>
      </c>
    </row>
    <row r="542" spans="17:25" x14ac:dyDescent="0.25">
      <c r="Q542" s="3" t="s">
        <v>1117</v>
      </c>
      <c r="R542" s="3" t="s">
        <v>1144</v>
      </c>
      <c r="S542" s="3" t="s">
        <v>1173</v>
      </c>
      <c r="T542" s="3">
        <v>1502097.09</v>
      </c>
      <c r="U542" s="3">
        <v>11</v>
      </c>
      <c r="V542" s="3">
        <v>136554.28090000001</v>
      </c>
      <c r="W542" s="3">
        <v>19607.14</v>
      </c>
      <c r="X542" s="3">
        <v>12</v>
      </c>
      <c r="Y542" s="3">
        <v>1633.9283330000001</v>
      </c>
    </row>
    <row r="543" spans="17:25" x14ac:dyDescent="0.25">
      <c r="Q543" s="3" t="s">
        <v>1118</v>
      </c>
      <c r="R543" s="3" t="s">
        <v>1145</v>
      </c>
      <c r="S543" s="3" t="s">
        <v>1174</v>
      </c>
      <c r="T543" s="3">
        <v>28004.02</v>
      </c>
      <c r="U543" s="3">
        <v>903</v>
      </c>
      <c r="V543" s="3">
        <v>31.012203769999999</v>
      </c>
      <c r="W543" s="3">
        <v>17728.11</v>
      </c>
      <c r="X543" s="3">
        <v>600</v>
      </c>
      <c r="Y543" s="3">
        <v>29.546849999999999</v>
      </c>
    </row>
    <row r="544" spans="17:25" x14ac:dyDescent="0.25">
      <c r="Q544" s="3" t="s">
        <v>1119</v>
      </c>
      <c r="R544" s="3" t="s">
        <v>1146</v>
      </c>
      <c r="S544" s="3" t="s">
        <v>1146</v>
      </c>
      <c r="T544" s="3">
        <v>17141.419999999998</v>
      </c>
      <c r="U544" s="3">
        <v>35</v>
      </c>
      <c r="V544" s="3">
        <v>489.75485709999998</v>
      </c>
      <c r="W544" s="3">
        <v>17583.919999999998</v>
      </c>
      <c r="X544" s="3">
        <v>24</v>
      </c>
      <c r="Y544" s="3">
        <v>732.66333329999998</v>
      </c>
    </row>
    <row r="545" spans="17:25" x14ac:dyDescent="0.25">
      <c r="Q545" s="3" t="s">
        <v>1120</v>
      </c>
      <c r="R545" s="3" t="s">
        <v>1147</v>
      </c>
      <c r="S545" s="3" t="s">
        <v>1175</v>
      </c>
      <c r="T545" s="3">
        <v>17833.150000000001</v>
      </c>
      <c r="U545" s="3">
        <v>1909</v>
      </c>
      <c r="V545" s="3">
        <v>9.3416186490000008</v>
      </c>
      <c r="W545" s="3">
        <v>17491.8</v>
      </c>
      <c r="X545" s="3">
        <v>1615</v>
      </c>
      <c r="Y545" s="3">
        <v>10.830835909999999</v>
      </c>
    </row>
    <row r="546" spans="17:25" x14ac:dyDescent="0.25">
      <c r="Q546" s="3" t="s">
        <v>1121</v>
      </c>
      <c r="R546" s="3" t="s">
        <v>1148</v>
      </c>
      <c r="S546" s="3" t="s">
        <v>1176</v>
      </c>
      <c r="T546" s="3">
        <v>18390.64</v>
      </c>
      <c r="U546" s="3">
        <v>2047</v>
      </c>
      <c r="V546" s="3">
        <v>8.9841914999999997</v>
      </c>
      <c r="W546" s="3">
        <v>16649.25</v>
      </c>
      <c r="X546" s="3">
        <v>626</v>
      </c>
      <c r="Y546" s="3">
        <v>26.596246010000002</v>
      </c>
    </row>
    <row r="547" spans="17:25" x14ac:dyDescent="0.25">
      <c r="Q547" s="3" t="s">
        <v>1122</v>
      </c>
      <c r="R547" s="3" t="s">
        <v>1149</v>
      </c>
      <c r="S547" s="3" t="s">
        <v>1149</v>
      </c>
      <c r="T547" s="3">
        <v>64518.86</v>
      </c>
      <c r="U547" s="3">
        <v>4601</v>
      </c>
      <c r="V547" s="3">
        <v>14.0227907</v>
      </c>
      <c r="W547" s="3">
        <v>16222.23</v>
      </c>
      <c r="X547" s="3">
        <v>1092</v>
      </c>
      <c r="Y547" s="3">
        <v>14.855521980000001</v>
      </c>
    </row>
    <row r="548" spans="17:25" x14ac:dyDescent="0.25">
      <c r="Q548" s="3" t="s">
        <v>1123</v>
      </c>
      <c r="R548" s="3" t="s">
        <v>1150</v>
      </c>
      <c r="S548" s="3" t="s">
        <v>1177</v>
      </c>
      <c r="T548" s="3">
        <v>26252.14</v>
      </c>
      <c r="U548" s="3">
        <v>10223</v>
      </c>
      <c r="V548" s="3">
        <v>2.5679487430000001</v>
      </c>
      <c r="W548" s="3">
        <v>16206.34</v>
      </c>
      <c r="X548" s="3">
        <v>6527</v>
      </c>
      <c r="Y548" s="3">
        <v>2.4829692049999998</v>
      </c>
    </row>
    <row r="549" spans="17:25" x14ac:dyDescent="0.25">
      <c r="Q549" s="3" t="s">
        <v>1124</v>
      </c>
      <c r="R549" s="3" t="s">
        <v>1151</v>
      </c>
      <c r="S549" s="3" t="s">
        <v>1151</v>
      </c>
      <c r="T549" s="3">
        <v>49699.61</v>
      </c>
      <c r="U549" s="3">
        <v>2139</v>
      </c>
      <c r="V549" s="3">
        <v>23.23497429</v>
      </c>
      <c r="W549" s="3">
        <v>15925.32</v>
      </c>
      <c r="X549" s="3">
        <v>1570</v>
      </c>
      <c r="Y549" s="3">
        <v>10.14351592</v>
      </c>
    </row>
    <row r="550" spans="17:25" x14ac:dyDescent="0.25">
      <c r="Q550" s="3" t="s">
        <v>1125</v>
      </c>
      <c r="R550" s="3" t="s">
        <v>1152</v>
      </c>
      <c r="S550" s="3" t="s">
        <v>1178</v>
      </c>
      <c r="T550" s="3">
        <v>46247.839999999997</v>
      </c>
      <c r="U550" s="3">
        <v>1463</v>
      </c>
      <c r="V550" s="3">
        <v>31.611647300000001</v>
      </c>
      <c r="W550" s="3">
        <v>14279.37</v>
      </c>
      <c r="X550" s="3">
        <v>472</v>
      </c>
      <c r="Y550" s="3">
        <v>30.252902540000001</v>
      </c>
    </row>
    <row r="551" spans="17:25" x14ac:dyDescent="0.25">
      <c r="Q551" s="3" t="s">
        <v>1126</v>
      </c>
      <c r="R551" s="3" t="s">
        <v>1153</v>
      </c>
      <c r="S551" s="3" t="s">
        <v>1179</v>
      </c>
      <c r="T551" s="3">
        <v>2722.4</v>
      </c>
      <c r="U551" s="3">
        <v>158</v>
      </c>
      <c r="V551" s="3">
        <v>17.230379750000001</v>
      </c>
      <c r="W551" s="3">
        <v>14219.29</v>
      </c>
      <c r="X551" s="3">
        <v>525</v>
      </c>
      <c r="Y551" s="3">
        <v>27.084361909999998</v>
      </c>
    </row>
    <row r="552" spans="17:25" x14ac:dyDescent="0.25">
      <c r="Q552" s="3" t="s">
        <v>1127</v>
      </c>
      <c r="R552" s="3" t="s">
        <v>1154</v>
      </c>
      <c r="S552" s="3" t="s">
        <v>1180</v>
      </c>
      <c r="T552" s="3">
        <v>62716.480000000003</v>
      </c>
      <c r="U552" s="3">
        <v>201</v>
      </c>
      <c r="V552" s="3">
        <v>312.02228860000002</v>
      </c>
      <c r="W552" s="3">
        <v>14093.93</v>
      </c>
      <c r="X552" s="3">
        <v>87</v>
      </c>
      <c r="Y552" s="3">
        <v>161.99919539999999</v>
      </c>
    </row>
    <row r="553" spans="17:25" x14ac:dyDescent="0.25">
      <c r="Q553" s="3" t="s">
        <v>1128</v>
      </c>
      <c r="R553" s="3" t="s">
        <v>1155</v>
      </c>
      <c r="S553" s="3" t="s">
        <v>1155</v>
      </c>
      <c r="T553" s="3">
        <v>29883.79</v>
      </c>
      <c r="U553" s="3">
        <v>1536</v>
      </c>
      <c r="V553" s="3">
        <v>19.455592450000001</v>
      </c>
      <c r="W553" s="3">
        <v>14046.66</v>
      </c>
      <c r="X553" s="3">
        <v>686</v>
      </c>
      <c r="Y553" s="3">
        <v>20.476180759999998</v>
      </c>
    </row>
    <row r="554" spans="17:25" x14ac:dyDescent="0.25">
      <c r="Q554" s="3" t="s">
        <v>1129</v>
      </c>
      <c r="R554" s="3" t="s">
        <v>1156</v>
      </c>
      <c r="S554" s="3" t="s">
        <v>220</v>
      </c>
      <c r="T554" s="3">
        <v>15463.9</v>
      </c>
      <c r="U554" s="3"/>
      <c r="V554" s="3"/>
      <c r="W554" s="3">
        <v>14004.02</v>
      </c>
      <c r="X554" s="3">
        <v>21</v>
      </c>
      <c r="Y554" s="3">
        <v>666.85809519999998</v>
      </c>
    </row>
    <row r="555" spans="17:25" x14ac:dyDescent="0.25">
      <c r="Q555" s="3">
        <v>90672</v>
      </c>
      <c r="R555" s="3" t="s">
        <v>1157</v>
      </c>
      <c r="S555" s="3" t="s">
        <v>1181</v>
      </c>
      <c r="T555" s="3">
        <v>7756.99</v>
      </c>
      <c r="U555" s="3">
        <v>366</v>
      </c>
      <c r="V555" s="3">
        <v>21.19396175</v>
      </c>
      <c r="W555" s="3">
        <v>13316.69</v>
      </c>
      <c r="X555" s="3">
        <v>346</v>
      </c>
      <c r="Y555" s="3">
        <v>38.487543350000003</v>
      </c>
    </row>
    <row r="556" spans="17:25" x14ac:dyDescent="0.25">
      <c r="Q556" s="3" t="s">
        <v>1130</v>
      </c>
      <c r="R556" s="3" t="s">
        <v>1158</v>
      </c>
      <c r="S556" s="3" t="s">
        <v>1182</v>
      </c>
      <c r="T556" s="3">
        <v>635.36</v>
      </c>
      <c r="U556" s="3">
        <v>33</v>
      </c>
      <c r="V556" s="3">
        <v>19.25333333</v>
      </c>
      <c r="W556" s="3">
        <v>13156.8</v>
      </c>
      <c r="X556" s="3">
        <v>726</v>
      </c>
      <c r="Y556" s="3">
        <v>18.12231405</v>
      </c>
    </row>
    <row r="557" spans="17:25" x14ac:dyDescent="0.25">
      <c r="Q557" s="3" t="s">
        <v>1131</v>
      </c>
      <c r="R557" s="3" t="s">
        <v>1159</v>
      </c>
      <c r="S557" s="3" t="s">
        <v>1183</v>
      </c>
      <c r="T557" s="3">
        <v>17113.39</v>
      </c>
      <c r="U557" s="3">
        <v>1464</v>
      </c>
      <c r="V557" s="3">
        <v>11.68947404</v>
      </c>
      <c r="W557" s="3">
        <v>13139.99</v>
      </c>
      <c r="X557" s="3">
        <v>1107</v>
      </c>
      <c r="Y557" s="3">
        <v>11.86990967</v>
      </c>
    </row>
    <row r="558" spans="17:25" x14ac:dyDescent="0.25">
      <c r="Q558" s="3" t="s">
        <v>1132</v>
      </c>
      <c r="R558" s="3" t="s">
        <v>1160</v>
      </c>
      <c r="S558" s="3" t="s">
        <v>1160</v>
      </c>
      <c r="T558" s="3">
        <v>356800.54</v>
      </c>
      <c r="U558" s="3">
        <v>495</v>
      </c>
      <c r="V558" s="3">
        <v>720.80917169999998</v>
      </c>
      <c r="W558" s="3">
        <v>12893.59</v>
      </c>
      <c r="X558" s="3">
        <v>28</v>
      </c>
      <c r="Y558" s="3">
        <v>460.48535709999999</v>
      </c>
    </row>
    <row r="559" spans="17:25" x14ac:dyDescent="0.25">
      <c r="Q559" s="3">
        <v>90687</v>
      </c>
      <c r="R559" s="3" t="s">
        <v>1161</v>
      </c>
      <c r="S559" s="3" t="s">
        <v>1184</v>
      </c>
      <c r="T559" s="3">
        <v>7196.53</v>
      </c>
      <c r="U559" s="3">
        <v>727</v>
      </c>
      <c r="V559" s="3">
        <v>9.8989408529999992</v>
      </c>
      <c r="W559" s="3">
        <v>12164.48</v>
      </c>
      <c r="X559" s="3">
        <v>977</v>
      </c>
      <c r="Y559" s="3">
        <v>12.45084954</v>
      </c>
    </row>
    <row r="560" spans="17:25" x14ac:dyDescent="0.25">
      <c r="Q560" s="3" t="s">
        <v>1133</v>
      </c>
      <c r="R560" s="3" t="s">
        <v>1162</v>
      </c>
      <c r="S560" s="3" t="s">
        <v>1162</v>
      </c>
      <c r="T560" s="3">
        <v>9369.0400000000009</v>
      </c>
      <c r="U560" s="3">
        <v>893</v>
      </c>
      <c r="V560" s="3">
        <v>10.49164614</v>
      </c>
      <c r="W560" s="3">
        <v>11369.74</v>
      </c>
      <c r="X560" s="3">
        <v>520</v>
      </c>
      <c r="Y560" s="3">
        <v>21.864884620000002</v>
      </c>
    </row>
    <row r="561" spans="17:25" x14ac:dyDescent="0.25">
      <c r="Q561" s="3" t="s">
        <v>1134</v>
      </c>
      <c r="R561" s="3" t="s">
        <v>1163</v>
      </c>
      <c r="S561" s="3" t="s">
        <v>1163</v>
      </c>
      <c r="T561" s="3">
        <v>20323.88</v>
      </c>
      <c r="U561" s="3">
        <v>106</v>
      </c>
      <c r="V561" s="3">
        <v>191.73471699999999</v>
      </c>
      <c r="W561" s="3">
        <v>10921.1</v>
      </c>
      <c r="X561" s="3">
        <v>49</v>
      </c>
      <c r="Y561" s="3">
        <v>222.87959179999999</v>
      </c>
    </row>
    <row r="562" spans="17:25" x14ac:dyDescent="0.25">
      <c r="Q562" s="3" t="s">
        <v>1135</v>
      </c>
      <c r="R562" s="3" t="s">
        <v>1164</v>
      </c>
      <c r="S562" s="3" t="s">
        <v>1185</v>
      </c>
      <c r="T562" s="3">
        <v>11367.39</v>
      </c>
      <c r="U562" s="3">
        <v>46691</v>
      </c>
      <c r="V562" s="3">
        <v>0.24345998199999999</v>
      </c>
      <c r="W562" s="3">
        <v>10128.799999999999</v>
      </c>
      <c r="X562" s="3">
        <v>38411</v>
      </c>
      <c r="Y562" s="3">
        <v>0.26369529600000002</v>
      </c>
    </row>
    <row r="563" spans="17:25" x14ac:dyDescent="0.25">
      <c r="Q563" s="3" t="s">
        <v>1136</v>
      </c>
      <c r="R563" s="3" t="s">
        <v>1165</v>
      </c>
      <c r="S563" s="3" t="s">
        <v>1186</v>
      </c>
      <c r="T563" s="3">
        <v>57218.53</v>
      </c>
      <c r="U563" s="3">
        <v>394</v>
      </c>
      <c r="V563" s="3">
        <v>145.2246954</v>
      </c>
      <c r="W563" s="3">
        <v>10043.709999999999</v>
      </c>
      <c r="X563" s="3">
        <v>155</v>
      </c>
      <c r="Y563" s="3">
        <v>64.798129029999998</v>
      </c>
    </row>
    <row r="564" spans="17:25" x14ac:dyDescent="0.25">
      <c r="Q564" s="3" t="s">
        <v>1137</v>
      </c>
      <c r="R564" s="3" t="s">
        <v>1166</v>
      </c>
      <c r="S564" s="3" t="s">
        <v>1187</v>
      </c>
      <c r="T564" s="3">
        <v>2962.35</v>
      </c>
      <c r="U564" s="3"/>
      <c r="V564" s="3"/>
      <c r="W564" s="3">
        <v>9646.83</v>
      </c>
      <c r="X564" s="3">
        <v>12</v>
      </c>
      <c r="Y564" s="3">
        <v>803.90250000000003</v>
      </c>
    </row>
    <row r="565" spans="17:25" x14ac:dyDescent="0.25">
      <c r="Q565" s="3" t="s">
        <v>1138</v>
      </c>
      <c r="R565" s="3" t="s">
        <v>1167</v>
      </c>
      <c r="S565" s="3" t="s">
        <v>1188</v>
      </c>
      <c r="T565" s="3">
        <v>7873.2</v>
      </c>
      <c r="U565" s="3">
        <v>802</v>
      </c>
      <c r="V565" s="3">
        <v>9.8169576060000008</v>
      </c>
      <c r="W565" s="3">
        <v>9350.48</v>
      </c>
      <c r="X565" s="3">
        <v>1069</v>
      </c>
      <c r="Y565" s="3">
        <v>8.7469410659999998</v>
      </c>
    </row>
    <row r="566" spans="17:25" x14ac:dyDescent="0.25">
      <c r="Q566" s="3" t="s">
        <v>1139</v>
      </c>
      <c r="R566" s="3" t="s">
        <v>1168</v>
      </c>
      <c r="S566" s="3" t="s">
        <v>1189</v>
      </c>
      <c r="T566" s="3">
        <v>12460.63</v>
      </c>
      <c r="U566" s="3">
        <v>3632</v>
      </c>
      <c r="V566" s="3">
        <v>3.430790198</v>
      </c>
      <c r="W566" s="3">
        <v>9132.66</v>
      </c>
      <c r="X566" s="3">
        <v>2283</v>
      </c>
      <c r="Y566" s="3">
        <v>4.0002890930000001</v>
      </c>
    </row>
    <row r="567" spans="17:25" x14ac:dyDescent="0.25">
      <c r="Q567" s="3" t="s">
        <v>1140</v>
      </c>
      <c r="R567" s="3" t="s">
        <v>1169</v>
      </c>
      <c r="S567" s="3" t="s">
        <v>1169</v>
      </c>
      <c r="T567" s="3">
        <v>44774.16</v>
      </c>
      <c r="U567" s="3">
        <v>775</v>
      </c>
      <c r="V567" s="3">
        <v>57.773109679999997</v>
      </c>
      <c r="W567" s="3">
        <v>8901.6</v>
      </c>
      <c r="X567" s="3">
        <v>629</v>
      </c>
      <c r="Y567" s="3">
        <v>14.15198728</v>
      </c>
    </row>
    <row r="568" spans="17:25" x14ac:dyDescent="0.25">
      <c r="Q568" s="3" t="s">
        <v>1141</v>
      </c>
      <c r="R568" s="3" t="s">
        <v>1170</v>
      </c>
      <c r="S568" s="3" t="s">
        <v>1190</v>
      </c>
      <c r="T568" s="3">
        <v>7207.09</v>
      </c>
      <c r="U568" s="3">
        <v>113</v>
      </c>
      <c r="V568" s="3">
        <v>63.779557519999997</v>
      </c>
      <c r="W568" s="3">
        <v>8710.75</v>
      </c>
      <c r="X568" s="3">
        <v>124</v>
      </c>
      <c r="Y568" s="3">
        <v>70.247983869999999</v>
      </c>
    </row>
    <row r="569" spans="17:25" x14ac:dyDescent="0.25">
      <c r="Q569" s="3" t="s">
        <v>1142</v>
      </c>
      <c r="R569" s="3" t="s">
        <v>1171</v>
      </c>
      <c r="S569" s="3" t="s">
        <v>1171</v>
      </c>
      <c r="T569" s="3">
        <v>47415.86</v>
      </c>
      <c r="U569" s="3">
        <v>293</v>
      </c>
      <c r="V569" s="3">
        <v>161.8288737</v>
      </c>
      <c r="W569" s="3">
        <v>8453.1200000000008</v>
      </c>
      <c r="X569" s="3">
        <v>120</v>
      </c>
      <c r="Y569" s="3">
        <v>70.442666669999994</v>
      </c>
    </row>
    <row r="570" spans="17:25" x14ac:dyDescent="0.25">
      <c r="Q570" s="3" t="s">
        <v>1143</v>
      </c>
      <c r="R570" s="3" t="s">
        <v>1172</v>
      </c>
      <c r="S570" s="3" t="s">
        <v>1191</v>
      </c>
      <c r="T570" s="3">
        <v>39417.42</v>
      </c>
      <c r="U570" s="3">
        <v>151</v>
      </c>
      <c r="V570" s="3">
        <v>261.0425166</v>
      </c>
      <c r="W570" s="3">
        <v>8401.6</v>
      </c>
      <c r="X570" s="3">
        <v>26</v>
      </c>
      <c r="Y570" s="3">
        <v>323.13846150000001</v>
      </c>
    </row>
    <row r="571" spans="17:25" x14ac:dyDescent="0.25">
      <c r="Q571" s="3" t="s">
        <v>1494</v>
      </c>
      <c r="R571" s="3" t="s">
        <v>1628</v>
      </c>
      <c r="S571" s="3" t="s">
        <v>1746</v>
      </c>
      <c r="T571" s="3"/>
      <c r="U571" s="3"/>
      <c r="V571" s="3"/>
      <c r="W571" s="3">
        <v>8379.7000000000007</v>
      </c>
      <c r="X571" s="3">
        <v>25</v>
      </c>
      <c r="Y571" s="3">
        <v>335.18799999999999</v>
      </c>
    </row>
    <row r="572" spans="17:25" x14ac:dyDescent="0.25">
      <c r="Q572" s="3" t="s">
        <v>1192</v>
      </c>
      <c r="R572" s="3" t="s">
        <v>1207</v>
      </c>
      <c r="S572" s="3" t="s">
        <v>1053</v>
      </c>
      <c r="T572" s="3">
        <v>17512.72</v>
      </c>
      <c r="U572" s="3">
        <v>196</v>
      </c>
      <c r="V572" s="3">
        <v>89.350612249999998</v>
      </c>
      <c r="W572" s="3">
        <v>8270.15</v>
      </c>
      <c r="X572" s="3">
        <v>200</v>
      </c>
      <c r="Y572" s="3">
        <v>41.350749999999998</v>
      </c>
    </row>
    <row r="573" spans="17:25" x14ac:dyDescent="0.25">
      <c r="Q573" s="3" t="s">
        <v>1193</v>
      </c>
      <c r="R573" s="3" t="s">
        <v>1208</v>
      </c>
      <c r="S573" s="3" t="s">
        <v>1208</v>
      </c>
      <c r="T573" s="3">
        <v>10919.75</v>
      </c>
      <c r="U573" s="3">
        <v>1452</v>
      </c>
      <c r="V573" s="3">
        <v>7.5204889809999997</v>
      </c>
      <c r="W573" s="3">
        <v>8193.7900000000009</v>
      </c>
      <c r="X573" s="3">
        <v>802</v>
      </c>
      <c r="Y573" s="3">
        <v>10.21669576</v>
      </c>
    </row>
    <row r="574" spans="17:25" x14ac:dyDescent="0.25">
      <c r="Q574" s="3" t="s">
        <v>1194</v>
      </c>
      <c r="R574" s="3" t="s">
        <v>1209</v>
      </c>
      <c r="S574" s="3" t="s">
        <v>1051</v>
      </c>
      <c r="T574" s="3">
        <v>12107.49</v>
      </c>
      <c r="U574" s="3">
        <v>751</v>
      </c>
      <c r="V574" s="3">
        <v>16.121824230000001</v>
      </c>
      <c r="W574" s="3">
        <v>8047.41</v>
      </c>
      <c r="X574" s="3">
        <v>573</v>
      </c>
      <c r="Y574" s="3">
        <v>14.044345549999999</v>
      </c>
    </row>
    <row r="575" spans="17:25" x14ac:dyDescent="0.25">
      <c r="Q575" s="3" t="s">
        <v>1195</v>
      </c>
      <c r="R575" s="3" t="s">
        <v>1210</v>
      </c>
      <c r="S575" s="3" t="s">
        <v>1223</v>
      </c>
      <c r="T575" s="3">
        <v>7707.55</v>
      </c>
      <c r="U575" s="3">
        <v>1456</v>
      </c>
      <c r="V575" s="3">
        <v>5.2936469779999999</v>
      </c>
      <c r="W575" s="3">
        <v>7732.62</v>
      </c>
      <c r="X575" s="3">
        <v>1182</v>
      </c>
      <c r="Y575" s="3">
        <v>6.5419796950000002</v>
      </c>
    </row>
    <row r="576" spans="17:25" x14ac:dyDescent="0.25">
      <c r="Q576" s="3" t="s">
        <v>1196</v>
      </c>
      <c r="R576" s="3" t="s">
        <v>1211</v>
      </c>
      <c r="S576" s="3" t="s">
        <v>1224</v>
      </c>
      <c r="T576" s="3">
        <v>52639.25</v>
      </c>
      <c r="U576" s="3">
        <v>251</v>
      </c>
      <c r="V576" s="3">
        <v>209.71812750000001</v>
      </c>
      <c r="W576" s="3">
        <v>7530.66</v>
      </c>
      <c r="X576" s="3">
        <v>64</v>
      </c>
      <c r="Y576" s="3">
        <v>117.6665625</v>
      </c>
    </row>
    <row r="577" spans="17:25" x14ac:dyDescent="0.25">
      <c r="Q577" s="3" t="s">
        <v>1197</v>
      </c>
      <c r="R577" s="3" t="s">
        <v>1212</v>
      </c>
      <c r="S577" s="3" t="s">
        <v>1212</v>
      </c>
      <c r="T577" s="3">
        <v>11514.14</v>
      </c>
      <c r="U577" s="3">
        <v>195</v>
      </c>
      <c r="V577" s="3">
        <v>59.046871799999998</v>
      </c>
      <c r="W577" s="3">
        <v>7341.47</v>
      </c>
      <c r="X577" s="3">
        <v>190</v>
      </c>
      <c r="Y577" s="3">
        <v>38.639315789999998</v>
      </c>
    </row>
    <row r="578" spans="17:25" x14ac:dyDescent="0.25">
      <c r="Q578" s="3" t="s">
        <v>1198</v>
      </c>
      <c r="R578" s="3" t="s">
        <v>1213</v>
      </c>
      <c r="S578" s="3" t="s">
        <v>1213</v>
      </c>
      <c r="T578" s="3">
        <v>4566.5200000000004</v>
      </c>
      <c r="U578" s="3">
        <v>323</v>
      </c>
      <c r="V578" s="3">
        <v>14.13783282</v>
      </c>
      <c r="W578" s="3">
        <v>7250.86</v>
      </c>
      <c r="X578" s="3">
        <v>334</v>
      </c>
      <c r="Y578" s="3">
        <v>21.709161680000001</v>
      </c>
    </row>
    <row r="579" spans="17:25" x14ac:dyDescent="0.25">
      <c r="Q579" s="3" t="s">
        <v>1199</v>
      </c>
      <c r="R579" s="3" t="s">
        <v>1214</v>
      </c>
      <c r="S579" s="3" t="s">
        <v>316</v>
      </c>
      <c r="T579" s="3">
        <v>35786.28</v>
      </c>
      <c r="U579" s="3">
        <v>400</v>
      </c>
      <c r="V579" s="3">
        <v>89.465699999999998</v>
      </c>
      <c r="W579" s="3">
        <v>7109.33</v>
      </c>
      <c r="X579" s="3">
        <v>44</v>
      </c>
      <c r="Y579" s="3">
        <v>161.57568180000001</v>
      </c>
    </row>
    <row r="580" spans="17:25" x14ac:dyDescent="0.25">
      <c r="Q580" s="3" t="s">
        <v>1200</v>
      </c>
      <c r="R580" s="3" t="s">
        <v>1215</v>
      </c>
      <c r="S580" s="3" t="s">
        <v>1215</v>
      </c>
      <c r="T580" s="3">
        <v>24033.99</v>
      </c>
      <c r="U580" s="3">
        <v>33</v>
      </c>
      <c r="V580" s="3">
        <v>728.30272730000002</v>
      </c>
      <c r="W580" s="3">
        <v>7106.01</v>
      </c>
      <c r="X580" s="3">
        <v>16</v>
      </c>
      <c r="Y580" s="3">
        <v>444.12562500000001</v>
      </c>
    </row>
    <row r="581" spans="17:25" x14ac:dyDescent="0.25">
      <c r="Q581" s="3" t="s">
        <v>1201</v>
      </c>
      <c r="R581" s="3" t="s">
        <v>1216</v>
      </c>
      <c r="S581" s="3" t="s">
        <v>1216</v>
      </c>
      <c r="T581" s="3">
        <v>31878.78</v>
      </c>
      <c r="U581" s="3">
        <v>2686</v>
      </c>
      <c r="V581" s="3">
        <v>11.86849591</v>
      </c>
      <c r="W581" s="3">
        <v>6961</v>
      </c>
      <c r="X581" s="3">
        <v>1207</v>
      </c>
      <c r="Y581" s="3">
        <v>5.7671913840000002</v>
      </c>
    </row>
    <row r="582" spans="17:25" x14ac:dyDescent="0.25">
      <c r="Q582" s="3" t="s">
        <v>1202</v>
      </c>
      <c r="R582" s="3" t="s">
        <v>1217</v>
      </c>
      <c r="S582" s="3" t="s">
        <v>1217</v>
      </c>
      <c r="T582" s="3">
        <v>13738.62</v>
      </c>
      <c r="U582" s="3">
        <v>3403</v>
      </c>
      <c r="V582" s="3">
        <v>4.0372083459999999</v>
      </c>
      <c r="W582" s="3">
        <v>6576.52</v>
      </c>
      <c r="X582" s="3">
        <v>2191</v>
      </c>
      <c r="Y582" s="3">
        <v>3.001606572</v>
      </c>
    </row>
    <row r="583" spans="17:25" x14ac:dyDescent="0.25">
      <c r="Q583" s="3" t="s">
        <v>1203</v>
      </c>
      <c r="R583" s="3" t="s">
        <v>1218</v>
      </c>
      <c r="S583" s="3" t="s">
        <v>1225</v>
      </c>
      <c r="T583" s="3">
        <v>30806.46</v>
      </c>
      <c r="U583" s="3">
        <v>205</v>
      </c>
      <c r="V583" s="3">
        <v>150.2754146</v>
      </c>
      <c r="W583" s="3">
        <v>6545.27</v>
      </c>
      <c r="X583" s="3">
        <v>50</v>
      </c>
      <c r="Y583" s="3">
        <v>130.90539999999999</v>
      </c>
    </row>
    <row r="584" spans="17:25" x14ac:dyDescent="0.25">
      <c r="Q584" s="3">
        <v>90632</v>
      </c>
      <c r="R584" s="3" t="s">
        <v>1219</v>
      </c>
      <c r="S584" s="3" t="s">
        <v>1226</v>
      </c>
      <c r="T584" s="3">
        <v>98033.4</v>
      </c>
      <c r="U584" s="3">
        <v>1765</v>
      </c>
      <c r="V584" s="3">
        <v>55.543002829999999</v>
      </c>
      <c r="W584" s="3">
        <v>6230.07</v>
      </c>
      <c r="X584" s="3">
        <v>88</v>
      </c>
      <c r="Y584" s="3">
        <v>70.796250000000001</v>
      </c>
    </row>
    <row r="585" spans="17:25" x14ac:dyDescent="0.25">
      <c r="Q585" s="3" t="s">
        <v>1204</v>
      </c>
      <c r="R585" s="3" t="s">
        <v>1220</v>
      </c>
      <c r="S585" s="3" t="s">
        <v>1220</v>
      </c>
      <c r="T585" s="3">
        <v>27383.54</v>
      </c>
      <c r="U585" s="3">
        <v>37</v>
      </c>
      <c r="V585" s="3">
        <v>740.09567570000002</v>
      </c>
      <c r="W585" s="3">
        <v>6124.05</v>
      </c>
      <c r="X585" s="3">
        <v>13</v>
      </c>
      <c r="Y585" s="3">
        <v>471.08076920000002</v>
      </c>
    </row>
    <row r="586" spans="17:25" x14ac:dyDescent="0.25">
      <c r="Q586" s="3" t="s">
        <v>1205</v>
      </c>
      <c r="R586" s="3" t="s">
        <v>1221</v>
      </c>
      <c r="S586" s="3" t="s">
        <v>1221</v>
      </c>
      <c r="T586" s="3">
        <v>3729.89</v>
      </c>
      <c r="U586" s="3">
        <v>786</v>
      </c>
      <c r="V586" s="3">
        <v>4.7454071249999998</v>
      </c>
      <c r="W586" s="3">
        <v>5948.05</v>
      </c>
      <c r="X586" s="3">
        <v>672</v>
      </c>
      <c r="Y586" s="3">
        <v>8.8512648810000005</v>
      </c>
    </row>
    <row r="587" spans="17:25" x14ac:dyDescent="0.25">
      <c r="Q587" s="3" t="s">
        <v>1206</v>
      </c>
      <c r="R587" s="3" t="s">
        <v>1222</v>
      </c>
      <c r="S587" s="3" t="s">
        <v>1222</v>
      </c>
      <c r="T587" s="3">
        <v>6159.34</v>
      </c>
      <c r="U587" s="3">
        <v>716</v>
      </c>
      <c r="V587" s="3">
        <v>8.6024301679999997</v>
      </c>
      <c r="W587" s="3">
        <v>5557.67</v>
      </c>
      <c r="X587" s="3">
        <v>409</v>
      </c>
      <c r="Y587" s="3">
        <v>13.58843521</v>
      </c>
    </row>
    <row r="588" spans="17:25" x14ac:dyDescent="0.25">
      <c r="Q588" s="3" t="s">
        <v>1495</v>
      </c>
      <c r="R588" s="3" t="s">
        <v>1629</v>
      </c>
      <c r="S588" s="3" t="s">
        <v>1747</v>
      </c>
      <c r="T588" s="3"/>
      <c r="U588" s="3"/>
      <c r="V588" s="3"/>
      <c r="W588" s="3">
        <v>5480.66</v>
      </c>
      <c r="X588" s="3"/>
      <c r="Y588" s="3"/>
    </row>
    <row r="589" spans="17:25" x14ac:dyDescent="0.25">
      <c r="Q589" s="3" t="s">
        <v>1227</v>
      </c>
      <c r="R589" s="3" t="s">
        <v>1229</v>
      </c>
      <c r="S589" s="3" t="s">
        <v>1229</v>
      </c>
      <c r="T589" s="3">
        <v>8433.52</v>
      </c>
      <c r="U589" s="3">
        <v>266</v>
      </c>
      <c r="V589" s="3">
        <v>31.70496241</v>
      </c>
      <c r="W589" s="3">
        <v>4948.58</v>
      </c>
      <c r="X589" s="3">
        <v>252</v>
      </c>
      <c r="Y589" s="3">
        <v>19.637222220000002</v>
      </c>
    </row>
    <row r="590" spans="17:25" x14ac:dyDescent="0.25">
      <c r="Q590" s="3" t="s">
        <v>1228</v>
      </c>
      <c r="R590" s="3" t="s">
        <v>1230</v>
      </c>
      <c r="S590" s="3" t="s">
        <v>1230</v>
      </c>
      <c r="T590" s="3">
        <v>3391.54</v>
      </c>
      <c r="U590" s="3">
        <v>19</v>
      </c>
      <c r="V590" s="3">
        <v>178.50210530000001</v>
      </c>
      <c r="W590" s="3">
        <v>3959.94</v>
      </c>
      <c r="X590" s="3">
        <v>15</v>
      </c>
      <c r="Y590" s="3">
        <v>263.99599999999998</v>
      </c>
    </row>
    <row r="591" spans="17:25" x14ac:dyDescent="0.25">
      <c r="Q591" s="3" t="s">
        <v>1496</v>
      </c>
      <c r="R591" s="3" t="s">
        <v>1630</v>
      </c>
      <c r="S591" s="3" t="s">
        <v>1748</v>
      </c>
      <c r="T591" s="3"/>
      <c r="U591" s="3"/>
      <c r="V591" s="3"/>
      <c r="W591" s="3">
        <v>3912.7</v>
      </c>
      <c r="X591" s="3">
        <v>33</v>
      </c>
      <c r="Y591" s="3">
        <v>118.5666667</v>
      </c>
    </row>
    <row r="592" spans="17:25" x14ac:dyDescent="0.25">
      <c r="Q592" s="3" t="s">
        <v>1231</v>
      </c>
      <c r="R592" s="3" t="s">
        <v>1257</v>
      </c>
      <c r="S592" s="3" t="s">
        <v>1282</v>
      </c>
      <c r="T592" s="3">
        <v>32739.66</v>
      </c>
      <c r="U592" s="3">
        <v>134</v>
      </c>
      <c r="V592" s="3">
        <v>244.3258209</v>
      </c>
      <c r="W592" s="3">
        <v>3657.93</v>
      </c>
      <c r="X592" s="3">
        <v>45</v>
      </c>
      <c r="Y592" s="3">
        <v>81.287333329999996</v>
      </c>
    </row>
    <row r="593" spans="17:25" x14ac:dyDescent="0.25">
      <c r="Q593" s="3" t="s">
        <v>1232</v>
      </c>
      <c r="R593" s="3" t="s">
        <v>1258</v>
      </c>
      <c r="S593" s="3" t="s">
        <v>1258</v>
      </c>
      <c r="T593" s="3">
        <v>1982.9</v>
      </c>
      <c r="U593" s="3"/>
      <c r="V593" s="3"/>
      <c r="W593" s="3">
        <v>3403.91</v>
      </c>
      <c r="X593" s="3">
        <v>15</v>
      </c>
      <c r="Y593" s="3">
        <v>226.92733329999999</v>
      </c>
    </row>
    <row r="594" spans="17:25" x14ac:dyDescent="0.25">
      <c r="Q594" s="3" t="s">
        <v>1233</v>
      </c>
      <c r="R594" s="3" t="s">
        <v>1259</v>
      </c>
      <c r="S594" s="3" t="s">
        <v>1283</v>
      </c>
      <c r="T594" s="3">
        <v>3973.31</v>
      </c>
      <c r="U594" s="3">
        <v>64</v>
      </c>
      <c r="V594" s="3">
        <v>62.082968749999999</v>
      </c>
      <c r="W594" s="3">
        <v>3351.55</v>
      </c>
      <c r="X594" s="3">
        <v>47</v>
      </c>
      <c r="Y594" s="3">
        <v>71.309574470000001</v>
      </c>
    </row>
    <row r="595" spans="17:25" x14ac:dyDescent="0.25">
      <c r="Q595" s="3" t="s">
        <v>1234</v>
      </c>
      <c r="R595" s="3" t="s">
        <v>1260</v>
      </c>
      <c r="S595" s="3" t="s">
        <v>1260</v>
      </c>
      <c r="T595" s="3">
        <v>3077.29</v>
      </c>
      <c r="U595" s="3">
        <v>900</v>
      </c>
      <c r="V595" s="3">
        <v>3.4192111110000001</v>
      </c>
      <c r="W595" s="3">
        <v>2887.77</v>
      </c>
      <c r="X595" s="3">
        <v>725</v>
      </c>
      <c r="Y595" s="3">
        <v>3.983131035</v>
      </c>
    </row>
    <row r="596" spans="17:25" x14ac:dyDescent="0.25">
      <c r="Q596" s="3" t="s">
        <v>1235</v>
      </c>
      <c r="R596" s="3" t="s">
        <v>1261</v>
      </c>
      <c r="S596" s="3" t="s">
        <v>1284</v>
      </c>
      <c r="T596" s="3">
        <v>10090.549999999999</v>
      </c>
      <c r="U596" s="3">
        <v>141</v>
      </c>
      <c r="V596" s="3">
        <v>71.564184400000002</v>
      </c>
      <c r="W596" s="3">
        <v>2866.96</v>
      </c>
      <c r="X596" s="3">
        <v>69</v>
      </c>
      <c r="Y596" s="3">
        <v>41.550144930000002</v>
      </c>
    </row>
    <row r="597" spans="17:25" x14ac:dyDescent="0.25">
      <c r="Q597" s="3" t="s">
        <v>1236</v>
      </c>
      <c r="R597" s="3" t="s">
        <v>1262</v>
      </c>
      <c r="S597" s="3" t="s">
        <v>1285</v>
      </c>
      <c r="T597" s="3">
        <v>25280.98</v>
      </c>
      <c r="U597" s="3">
        <v>58</v>
      </c>
      <c r="V597" s="3">
        <v>435.87896549999999</v>
      </c>
      <c r="W597" s="3">
        <v>2716.04</v>
      </c>
      <c r="X597" s="3">
        <v>91</v>
      </c>
      <c r="Y597" s="3">
        <v>29.846593410000001</v>
      </c>
    </row>
    <row r="598" spans="17:25" x14ac:dyDescent="0.25">
      <c r="Q598" s="3" t="s">
        <v>1237</v>
      </c>
      <c r="R598" s="3" t="s">
        <v>243</v>
      </c>
      <c r="S598" s="3" t="s">
        <v>243</v>
      </c>
      <c r="T598" s="3">
        <v>6770.91</v>
      </c>
      <c r="U598" s="3">
        <v>365</v>
      </c>
      <c r="V598" s="3">
        <v>18.550438360000001</v>
      </c>
      <c r="W598" s="3">
        <v>2307.4899999999998</v>
      </c>
      <c r="X598" s="3">
        <v>96</v>
      </c>
      <c r="Y598" s="3">
        <v>24.036354169999999</v>
      </c>
    </row>
    <row r="599" spans="17:25" x14ac:dyDescent="0.25">
      <c r="Q599" s="3" t="s">
        <v>1238</v>
      </c>
      <c r="R599" s="3" t="s">
        <v>1263</v>
      </c>
      <c r="S599" s="3" t="s">
        <v>1286</v>
      </c>
      <c r="T599" s="3">
        <v>3904.51</v>
      </c>
      <c r="U599" s="3">
        <v>406</v>
      </c>
      <c r="V599" s="3">
        <v>9.6170197040000005</v>
      </c>
      <c r="W599" s="3">
        <v>2098.29</v>
      </c>
      <c r="X599" s="3">
        <v>157</v>
      </c>
      <c r="Y599" s="3">
        <v>13.36490446</v>
      </c>
    </row>
    <row r="600" spans="17:25" x14ac:dyDescent="0.25">
      <c r="Q600" s="3" t="s">
        <v>1239</v>
      </c>
      <c r="R600" s="3" t="s">
        <v>1264</v>
      </c>
      <c r="S600" s="3" t="s">
        <v>1264</v>
      </c>
      <c r="T600" s="3">
        <v>10990.45</v>
      </c>
      <c r="U600" s="3">
        <v>55</v>
      </c>
      <c r="V600" s="3">
        <v>199.82636360000001</v>
      </c>
      <c r="W600" s="3">
        <v>2085.88</v>
      </c>
      <c r="X600" s="3">
        <v>21</v>
      </c>
      <c r="Y600" s="3">
        <v>99.327619049999996</v>
      </c>
    </row>
    <row r="601" spans="17:25" x14ac:dyDescent="0.25">
      <c r="Q601" s="3" t="s">
        <v>1240</v>
      </c>
      <c r="R601" s="3" t="s">
        <v>1265</v>
      </c>
      <c r="S601" s="3"/>
      <c r="T601" s="3">
        <v>625.49</v>
      </c>
      <c r="U601" s="3">
        <v>21</v>
      </c>
      <c r="V601" s="3">
        <v>29.785238100000001</v>
      </c>
      <c r="W601" s="3">
        <v>1915.76</v>
      </c>
      <c r="X601" s="3">
        <v>16</v>
      </c>
      <c r="Y601" s="3">
        <v>119.735</v>
      </c>
    </row>
    <row r="602" spans="17:25" x14ac:dyDescent="0.25">
      <c r="Q602" s="3" t="s">
        <v>1241</v>
      </c>
      <c r="R602" s="3" t="s">
        <v>1266</v>
      </c>
      <c r="S602" s="3" t="s">
        <v>1287</v>
      </c>
      <c r="T602" s="3">
        <v>7208</v>
      </c>
      <c r="U602" s="3">
        <v>640</v>
      </c>
      <c r="V602" s="3">
        <v>11.262499999999999</v>
      </c>
      <c r="W602" s="3">
        <v>1618.06</v>
      </c>
      <c r="X602" s="3">
        <v>324</v>
      </c>
      <c r="Y602" s="3">
        <v>4.9940123459999999</v>
      </c>
    </row>
    <row r="603" spans="17:25" x14ac:dyDescent="0.25">
      <c r="Q603" s="3" t="s">
        <v>1242</v>
      </c>
      <c r="R603" s="3" t="s">
        <v>1267</v>
      </c>
      <c r="S603" s="3" t="s">
        <v>1267</v>
      </c>
      <c r="T603" s="3">
        <v>3059.27</v>
      </c>
      <c r="U603" s="3">
        <v>68</v>
      </c>
      <c r="V603" s="3">
        <v>44.98926471</v>
      </c>
      <c r="W603" s="3">
        <v>1484.3</v>
      </c>
      <c r="X603" s="3">
        <v>26</v>
      </c>
      <c r="Y603" s="3">
        <v>57.088461539999997</v>
      </c>
    </row>
    <row r="604" spans="17:25" x14ac:dyDescent="0.25">
      <c r="Q604" s="3" t="s">
        <v>1243</v>
      </c>
      <c r="R604" s="3" t="s">
        <v>1268</v>
      </c>
      <c r="S604" s="3" t="s">
        <v>1268</v>
      </c>
      <c r="T604" s="3">
        <v>3408.04</v>
      </c>
      <c r="U604" s="3">
        <v>56</v>
      </c>
      <c r="V604" s="3">
        <v>60.85785714</v>
      </c>
      <c r="W604" s="3">
        <v>1424.97</v>
      </c>
      <c r="X604" s="3">
        <v>32</v>
      </c>
      <c r="Y604" s="3">
        <v>44.530312500000001</v>
      </c>
    </row>
    <row r="605" spans="17:25" x14ac:dyDescent="0.25">
      <c r="Q605" s="3" t="s">
        <v>1244</v>
      </c>
      <c r="R605" s="3" t="s">
        <v>1269</v>
      </c>
      <c r="S605" s="3" t="s">
        <v>1288</v>
      </c>
      <c r="T605" s="3">
        <v>1709.24</v>
      </c>
      <c r="U605" s="3"/>
      <c r="V605" s="3"/>
      <c r="W605" s="3">
        <v>1200.08</v>
      </c>
      <c r="X605" s="3"/>
      <c r="Y605" s="3"/>
    </row>
    <row r="606" spans="17:25" x14ac:dyDescent="0.25">
      <c r="Q606" s="3" t="s">
        <v>1245</v>
      </c>
      <c r="R606" s="3" t="s">
        <v>1270</v>
      </c>
      <c r="S606" s="3" t="s">
        <v>1270</v>
      </c>
      <c r="T606" s="3">
        <v>860.29</v>
      </c>
      <c r="U606" s="3">
        <v>128</v>
      </c>
      <c r="V606" s="3">
        <v>6.7210156249999997</v>
      </c>
      <c r="W606" s="3">
        <v>1074.29</v>
      </c>
      <c r="X606" s="3">
        <v>135</v>
      </c>
      <c r="Y606" s="3">
        <v>7.957703704</v>
      </c>
    </row>
    <row r="607" spans="17:25" x14ac:dyDescent="0.25">
      <c r="Q607" s="3" t="s">
        <v>1246</v>
      </c>
      <c r="R607" s="3" t="s">
        <v>1271</v>
      </c>
      <c r="S607" s="3" t="s">
        <v>895</v>
      </c>
      <c r="T607" s="3">
        <v>3257.13</v>
      </c>
      <c r="U607" s="3">
        <v>963</v>
      </c>
      <c r="V607" s="3">
        <v>3.3822741430000001</v>
      </c>
      <c r="W607" s="3">
        <v>749.27</v>
      </c>
      <c r="X607" s="3">
        <v>326</v>
      </c>
      <c r="Y607" s="3">
        <v>2.2983742330000001</v>
      </c>
    </row>
    <row r="608" spans="17:25" x14ac:dyDescent="0.25">
      <c r="Q608" s="3" t="s">
        <v>1247</v>
      </c>
      <c r="R608" s="3" t="s">
        <v>1272</v>
      </c>
      <c r="S608" s="3" t="s">
        <v>142</v>
      </c>
      <c r="T608" s="3">
        <v>763.24</v>
      </c>
      <c r="U608" s="3">
        <v>41</v>
      </c>
      <c r="V608" s="3">
        <v>18.615609760000002</v>
      </c>
      <c r="W608" s="3">
        <v>635.24</v>
      </c>
      <c r="X608" s="3">
        <v>53</v>
      </c>
      <c r="Y608" s="3">
        <v>11.985660380000001</v>
      </c>
    </row>
    <row r="609" spans="17:25" x14ac:dyDescent="0.25">
      <c r="Q609" s="3" t="s">
        <v>1248</v>
      </c>
      <c r="R609" s="3" t="s">
        <v>1273</v>
      </c>
      <c r="S609" s="3" t="s">
        <v>1289</v>
      </c>
      <c r="T609" s="3">
        <v>624.35</v>
      </c>
      <c r="U609" s="3">
        <v>198</v>
      </c>
      <c r="V609" s="3">
        <v>3.153282828</v>
      </c>
      <c r="W609" s="3">
        <v>535.59</v>
      </c>
      <c r="X609" s="3">
        <v>104</v>
      </c>
      <c r="Y609" s="3">
        <v>5.149903846</v>
      </c>
    </row>
    <row r="610" spans="17:25" x14ac:dyDescent="0.25">
      <c r="Q610" s="3" t="s">
        <v>1249</v>
      </c>
      <c r="R610" s="3" t="s">
        <v>1274</v>
      </c>
      <c r="S610" s="3" t="s">
        <v>1274</v>
      </c>
      <c r="T610" s="3">
        <v>718.11</v>
      </c>
      <c r="U610" s="3">
        <v>226</v>
      </c>
      <c r="V610" s="3">
        <v>3.1774778760000002</v>
      </c>
      <c r="W610" s="3">
        <v>511.69</v>
      </c>
      <c r="X610" s="3">
        <v>98</v>
      </c>
      <c r="Y610" s="3">
        <v>5.2213265309999999</v>
      </c>
    </row>
    <row r="611" spans="17:25" x14ac:dyDescent="0.25">
      <c r="Q611" s="3" t="s">
        <v>1250</v>
      </c>
      <c r="R611" s="3" t="s">
        <v>1275</v>
      </c>
      <c r="S611" s="3" t="s">
        <v>1275</v>
      </c>
      <c r="T611" s="3">
        <v>209.67</v>
      </c>
      <c r="U611" s="3">
        <v>12</v>
      </c>
      <c r="V611" s="3">
        <v>17.4725</v>
      </c>
      <c r="W611" s="3">
        <v>471.72</v>
      </c>
      <c r="X611" s="3"/>
      <c r="Y611" s="3"/>
    </row>
    <row r="612" spans="17:25" x14ac:dyDescent="0.25">
      <c r="Q612" s="3" t="s">
        <v>1251</v>
      </c>
      <c r="R612" s="3" t="s">
        <v>1276</v>
      </c>
      <c r="S612" s="3" t="s">
        <v>1290</v>
      </c>
      <c r="T612" s="3">
        <v>182.51</v>
      </c>
      <c r="U612" s="3"/>
      <c r="V612" s="3"/>
      <c r="W612" s="3">
        <v>445.22</v>
      </c>
      <c r="X612" s="3"/>
      <c r="Y612" s="3"/>
    </row>
    <row r="613" spans="17:25" x14ac:dyDescent="0.25">
      <c r="Q613" s="3" t="s">
        <v>1252</v>
      </c>
      <c r="R613" s="3" t="s">
        <v>1277</v>
      </c>
      <c r="S613" s="3" t="s">
        <v>1277</v>
      </c>
      <c r="T613" s="3">
        <v>136.88</v>
      </c>
      <c r="U613" s="3">
        <v>250</v>
      </c>
      <c r="V613" s="3">
        <v>0.54752000000000001</v>
      </c>
      <c r="W613" s="3">
        <v>338.14</v>
      </c>
      <c r="X613" s="3">
        <v>83</v>
      </c>
      <c r="Y613" s="3">
        <v>4.0739759040000001</v>
      </c>
    </row>
    <row r="614" spans="17:25" x14ac:dyDescent="0.25">
      <c r="Q614" s="3" t="s">
        <v>1253</v>
      </c>
      <c r="R614" s="3" t="s">
        <v>1278</v>
      </c>
      <c r="S614" s="3" t="s">
        <v>1278</v>
      </c>
      <c r="T614" s="3">
        <v>529.66999999999996</v>
      </c>
      <c r="U614" s="3">
        <v>56</v>
      </c>
      <c r="V614" s="3">
        <v>9.4583928569999998</v>
      </c>
      <c r="W614" s="3">
        <v>251.22</v>
      </c>
      <c r="X614" s="3">
        <v>29</v>
      </c>
      <c r="Y614" s="3">
        <v>8.662758621</v>
      </c>
    </row>
    <row r="615" spans="17:25" x14ac:dyDescent="0.25">
      <c r="Q615" s="3" t="s">
        <v>1254</v>
      </c>
      <c r="R615" s="3" t="s">
        <v>1279</v>
      </c>
      <c r="S615" s="3" t="s">
        <v>1279</v>
      </c>
      <c r="T615" s="3">
        <v>729.35</v>
      </c>
      <c r="U615" s="3">
        <v>49</v>
      </c>
      <c r="V615" s="3">
        <v>14.88469388</v>
      </c>
      <c r="W615" s="3">
        <v>234.17</v>
      </c>
      <c r="X615" s="3">
        <v>56</v>
      </c>
      <c r="Y615" s="3">
        <v>4.1816071429999999</v>
      </c>
    </row>
    <row r="616" spans="17:25" x14ac:dyDescent="0.25">
      <c r="Q616" s="3" t="s">
        <v>1255</v>
      </c>
      <c r="R616" s="3" t="s">
        <v>1280</v>
      </c>
      <c r="S616" s="3" t="s">
        <v>1291</v>
      </c>
      <c r="T616" s="3">
        <v>5871.57</v>
      </c>
      <c r="U616" s="3">
        <v>176</v>
      </c>
      <c r="V616" s="3">
        <v>33.361193180000001</v>
      </c>
      <c r="W616" s="3">
        <v>121.41</v>
      </c>
      <c r="X616" s="3">
        <v>36</v>
      </c>
      <c r="Y616" s="3">
        <v>3.3725000000000001</v>
      </c>
    </row>
    <row r="617" spans="17:25" x14ac:dyDescent="0.25">
      <c r="Q617" s="3" t="s">
        <v>1256</v>
      </c>
      <c r="R617" s="3" t="s">
        <v>1281</v>
      </c>
      <c r="S617" s="3" t="s">
        <v>1281</v>
      </c>
      <c r="T617" s="3">
        <v>1211.77</v>
      </c>
      <c r="U617" s="3">
        <v>13</v>
      </c>
      <c r="V617" s="3">
        <v>93.213076920000006</v>
      </c>
      <c r="W617" s="3">
        <v>60.91</v>
      </c>
      <c r="X617" s="3"/>
      <c r="Y617" s="3"/>
    </row>
    <row r="618" spans="17:25" x14ac:dyDescent="0.25">
      <c r="Q618" s="3" t="s">
        <v>1497</v>
      </c>
      <c r="R618" s="3" t="s">
        <v>1631</v>
      </c>
      <c r="S618" s="3" t="s">
        <v>1631</v>
      </c>
      <c r="T618" s="3">
        <v>10.93</v>
      </c>
      <c r="U618" s="3"/>
      <c r="V618" s="3"/>
      <c r="W618" s="3">
        <v>4.6900000000000004</v>
      </c>
      <c r="X618" s="3"/>
      <c r="Y618" s="3"/>
    </row>
  </sheetData>
  <autoFilter ref="Q1:Y483" xr:uid="{F90E8427-9247-4404-9EA7-01EBCD3FF8DA}"/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C912-F198-4B01-9AB2-E453066DEFEE}">
  <dimension ref="A1:Z618"/>
  <sheetViews>
    <sheetView tabSelected="1" workbookViewId="0">
      <selection activeCell="L21" sqref="L21"/>
    </sheetView>
  </sheetViews>
  <sheetFormatPr defaultRowHeight="15" x14ac:dyDescent="0.25"/>
  <cols>
    <col min="1" max="1" width="3" bestFit="1" customWidth="1"/>
    <col min="2" max="2" width="10" bestFit="1" customWidth="1"/>
    <col min="3" max="3" width="15" bestFit="1" customWidth="1"/>
    <col min="4" max="5" width="16.5703125" bestFit="1" customWidth="1"/>
    <col min="6" max="7" width="12" bestFit="1" customWidth="1"/>
    <col min="8" max="8" width="15.28515625" bestFit="1" customWidth="1"/>
    <col min="17" max="17" width="5.42578125" bestFit="1" customWidth="1"/>
    <col min="18" max="18" width="15.28515625" bestFit="1" customWidth="1"/>
    <col min="20" max="20" width="12.28515625" bestFit="1" customWidth="1"/>
    <col min="21" max="21" width="39.140625" bestFit="1" customWidth="1"/>
    <col min="22" max="23" width="18.85546875" bestFit="1" customWidth="1"/>
    <col min="24" max="25" width="14" bestFit="1" customWidth="1"/>
    <col min="26" max="26" width="17.5703125" bestFit="1" customWidth="1"/>
  </cols>
  <sheetData>
    <row r="1" spans="1:26" ht="15.75" thickBot="1" x14ac:dyDescent="0.3">
      <c r="B1" s="79" t="s">
        <v>1753</v>
      </c>
      <c r="C1" s="80"/>
      <c r="D1" s="80"/>
      <c r="E1" s="80"/>
      <c r="F1" s="80"/>
      <c r="G1" s="80"/>
      <c r="H1" s="80"/>
      <c r="Q1" s="46" t="s">
        <v>1292</v>
      </c>
      <c r="R1" s="46" t="s">
        <v>1293</v>
      </c>
      <c r="T1" s="46" t="s">
        <v>0</v>
      </c>
      <c r="U1" s="46" t="s">
        <v>5</v>
      </c>
      <c r="V1" s="46" t="s">
        <v>15</v>
      </c>
      <c r="W1" s="46" t="s">
        <v>18</v>
      </c>
      <c r="X1" s="46" t="s">
        <v>1381</v>
      </c>
      <c r="Y1" s="46" t="s">
        <v>1382</v>
      </c>
      <c r="Z1" s="46" t="s">
        <v>1632</v>
      </c>
    </row>
    <row r="2" spans="1:26" ht="15.75" thickBot="1" x14ac:dyDescent="0.3">
      <c r="A2" s="63"/>
      <c r="B2" s="61" t="s">
        <v>0</v>
      </c>
      <c r="C2" s="62" t="s">
        <v>5</v>
      </c>
      <c r="D2" s="60" t="s">
        <v>15</v>
      </c>
      <c r="E2" s="41" t="s">
        <v>18</v>
      </c>
      <c r="F2" s="41" t="s">
        <v>1381</v>
      </c>
      <c r="G2" s="41" t="s">
        <v>1382</v>
      </c>
      <c r="H2" s="41" t="s">
        <v>1632</v>
      </c>
      <c r="Q2" s="5">
        <v>2018</v>
      </c>
      <c r="R2" s="5">
        <v>33503234</v>
      </c>
      <c r="T2" s="5" t="s">
        <v>1</v>
      </c>
      <c r="U2" s="5" t="s">
        <v>6</v>
      </c>
      <c r="V2" s="5">
        <v>1813727267</v>
      </c>
      <c r="W2" s="5">
        <v>3966530837</v>
      </c>
      <c r="X2" s="5">
        <f t="shared" ref="X2:X65" si="0">V2/(R$2*12)</f>
        <v>4.5113238595613385</v>
      </c>
      <c r="Y2" s="5">
        <f t="shared" ref="Y2:Y65" si="1">W2/(R$3*12)</f>
        <v>10.69709327567363</v>
      </c>
      <c r="Z2" s="5">
        <f t="shared" ref="Z2:Z65" si="2">Y2-X2</f>
        <v>6.1857694161122918</v>
      </c>
    </row>
    <row r="3" spans="1:26" ht="15.75" thickTop="1" x14ac:dyDescent="0.25">
      <c r="A3" s="47">
        <v>1</v>
      </c>
      <c r="B3" s="48" t="s">
        <v>1</v>
      </c>
      <c r="C3" s="49" t="s">
        <v>6</v>
      </c>
      <c r="D3" s="58">
        <v>1813727267</v>
      </c>
      <c r="E3" s="59">
        <v>3966530837</v>
      </c>
      <c r="F3" s="59">
        <v>4.5113238595613385</v>
      </c>
      <c r="G3" s="59">
        <v>10.69709327567363</v>
      </c>
      <c r="H3" s="59">
        <v>6.1857694161122918</v>
      </c>
      <c r="Q3" s="3">
        <v>2021</v>
      </c>
      <c r="R3" s="3">
        <v>30900379</v>
      </c>
      <c r="T3" s="3" t="s">
        <v>1388</v>
      </c>
      <c r="U3" s="3" t="s">
        <v>1498</v>
      </c>
      <c r="V3" s="3"/>
      <c r="W3" s="3">
        <v>1046702030</v>
      </c>
      <c r="X3" s="3">
        <f t="shared" si="0"/>
        <v>0</v>
      </c>
      <c r="Y3" s="3">
        <f t="shared" si="1"/>
        <v>2.8227863861044122</v>
      </c>
      <c r="Z3" s="3">
        <f t="shared" si="2"/>
        <v>2.8227863861044122</v>
      </c>
    </row>
    <row r="4" spans="1:26" x14ac:dyDescent="0.25">
      <c r="A4" s="50">
        <v>2</v>
      </c>
      <c r="B4" s="51" t="s">
        <v>1388</v>
      </c>
      <c r="C4" s="52" t="s">
        <v>1498</v>
      </c>
      <c r="D4" s="20"/>
      <c r="E4" s="19">
        <v>1046702030</v>
      </c>
      <c r="F4" s="19">
        <v>0</v>
      </c>
      <c r="G4" s="19">
        <v>2.8227863861044122</v>
      </c>
      <c r="H4" s="19">
        <v>2.8227863861044122</v>
      </c>
      <c r="T4" s="3" t="s">
        <v>2</v>
      </c>
      <c r="U4" s="3" t="s">
        <v>7</v>
      </c>
      <c r="V4" s="3">
        <v>2573938387</v>
      </c>
      <c r="W4" s="3">
        <v>3415890772</v>
      </c>
      <c r="X4" s="3">
        <f t="shared" si="0"/>
        <v>6.4022137559416903</v>
      </c>
      <c r="Y4" s="3">
        <f t="shared" si="1"/>
        <v>9.2121059205562918</v>
      </c>
      <c r="Z4" s="3">
        <f t="shared" si="2"/>
        <v>2.8098921646146016</v>
      </c>
    </row>
    <row r="5" spans="1:26" x14ac:dyDescent="0.25">
      <c r="A5" s="47">
        <v>3</v>
      </c>
      <c r="B5" s="48" t="s">
        <v>2</v>
      </c>
      <c r="C5" s="49" t="s">
        <v>7</v>
      </c>
      <c r="D5" s="56">
        <v>2573938387</v>
      </c>
      <c r="E5" s="57">
        <v>3415890772</v>
      </c>
      <c r="F5" s="57">
        <v>6.4022137559416903</v>
      </c>
      <c r="G5" s="57">
        <v>9.2121059205562918</v>
      </c>
      <c r="H5" s="57">
        <v>2.8098921646146016</v>
      </c>
      <c r="T5" s="3" t="s">
        <v>1364</v>
      </c>
      <c r="U5" s="3" t="s">
        <v>1499</v>
      </c>
      <c r="V5" s="3"/>
      <c r="W5" s="3">
        <v>765560205.60000002</v>
      </c>
      <c r="X5" s="3">
        <f t="shared" si="0"/>
        <v>0</v>
      </c>
      <c r="Y5" s="3">
        <f t="shared" si="1"/>
        <v>2.0645922757128643</v>
      </c>
      <c r="Z5" s="3">
        <f t="shared" si="2"/>
        <v>2.0645922757128643</v>
      </c>
    </row>
    <row r="6" spans="1:26" x14ac:dyDescent="0.25">
      <c r="A6" s="50">
        <v>4</v>
      </c>
      <c r="B6" s="51" t="s">
        <v>1364</v>
      </c>
      <c r="C6" s="52" t="s">
        <v>1499</v>
      </c>
      <c r="D6" s="20"/>
      <c r="E6" s="19">
        <v>765560205.60000002</v>
      </c>
      <c r="F6" s="19">
        <v>0</v>
      </c>
      <c r="G6" s="19">
        <v>2.0645922757128643</v>
      </c>
      <c r="H6" s="19">
        <v>2.0645922757128643</v>
      </c>
      <c r="T6" s="3" t="s">
        <v>3</v>
      </c>
      <c r="U6" s="3" t="s">
        <v>8</v>
      </c>
      <c r="V6" s="3">
        <v>1416968973</v>
      </c>
      <c r="W6" s="3">
        <v>1780811015</v>
      </c>
      <c r="X6" s="3">
        <f t="shared" si="0"/>
        <v>3.5244581985727108</v>
      </c>
      <c r="Y6" s="3">
        <f t="shared" si="1"/>
        <v>4.802559797621468</v>
      </c>
      <c r="Z6" s="3">
        <f t="shared" si="2"/>
        <v>1.2781015990487572</v>
      </c>
    </row>
    <row r="7" spans="1:26" x14ac:dyDescent="0.25">
      <c r="A7" s="47">
        <v>5</v>
      </c>
      <c r="B7" s="48" t="s">
        <v>3</v>
      </c>
      <c r="C7" s="49" t="s">
        <v>8</v>
      </c>
      <c r="D7" s="56">
        <v>1416968973</v>
      </c>
      <c r="E7" s="57">
        <v>1780811015</v>
      </c>
      <c r="F7" s="57">
        <v>3.5244581985727108</v>
      </c>
      <c r="G7" s="57">
        <v>4.802559797621468</v>
      </c>
      <c r="H7" s="57">
        <v>1.2781015990487572</v>
      </c>
      <c r="T7" s="3" t="s">
        <v>1391</v>
      </c>
      <c r="U7" s="3" t="s">
        <v>1502</v>
      </c>
      <c r="V7" s="3"/>
      <c r="W7" s="3">
        <v>453544571.60000002</v>
      </c>
      <c r="X7" s="3">
        <f t="shared" si="0"/>
        <v>0</v>
      </c>
      <c r="Y7" s="3">
        <f t="shared" si="1"/>
        <v>1.2231364853701849</v>
      </c>
      <c r="Z7" s="3">
        <f t="shared" si="2"/>
        <v>1.2231364853701849</v>
      </c>
    </row>
    <row r="8" spans="1:26" x14ac:dyDescent="0.25">
      <c r="A8" s="50">
        <v>6</v>
      </c>
      <c r="B8" s="51" t="s">
        <v>1391</v>
      </c>
      <c r="C8" s="52" t="s">
        <v>1502</v>
      </c>
      <c r="D8" s="20"/>
      <c r="E8" s="19">
        <v>453544571.60000002</v>
      </c>
      <c r="F8" s="19">
        <v>0</v>
      </c>
      <c r="G8" s="19">
        <v>1.2231364853701849</v>
      </c>
      <c r="H8" s="19">
        <v>1.2231364853701849</v>
      </c>
      <c r="T8" s="3" t="s">
        <v>1389</v>
      </c>
      <c r="U8" s="3" t="s">
        <v>1500</v>
      </c>
      <c r="V8" s="3">
        <v>240758211.59999999</v>
      </c>
      <c r="W8" s="3">
        <v>656074898.5</v>
      </c>
      <c r="X8" s="3">
        <f t="shared" si="0"/>
        <v>0.59884321316563049</v>
      </c>
      <c r="Y8" s="3">
        <f t="shared" si="1"/>
        <v>1.7693280787375887</v>
      </c>
      <c r="Z8" s="3">
        <f t="shared" si="2"/>
        <v>1.1704848655719582</v>
      </c>
    </row>
    <row r="9" spans="1:26" x14ac:dyDescent="0.25">
      <c r="A9" s="47">
        <v>7</v>
      </c>
      <c r="B9" s="48" t="s">
        <v>1389</v>
      </c>
      <c r="C9" s="49" t="s">
        <v>1500</v>
      </c>
      <c r="D9" s="56">
        <v>240758211.59999999</v>
      </c>
      <c r="E9" s="57">
        <v>656074898.5</v>
      </c>
      <c r="F9" s="57">
        <v>0.59884321316563049</v>
      </c>
      <c r="G9" s="57">
        <v>1.7693280787375887</v>
      </c>
      <c r="H9" s="57">
        <v>1.1704848655719582</v>
      </c>
      <c r="T9" s="3" t="s">
        <v>1392</v>
      </c>
      <c r="U9" s="3" t="s">
        <v>1503</v>
      </c>
      <c r="V9" s="3"/>
      <c r="W9" s="3">
        <v>336344276</v>
      </c>
      <c r="X9" s="3">
        <f t="shared" si="0"/>
        <v>0</v>
      </c>
      <c r="Y9" s="3">
        <f t="shared" si="1"/>
        <v>0.90706620998618392</v>
      </c>
      <c r="Z9" s="3">
        <f t="shared" si="2"/>
        <v>0.90706620998618392</v>
      </c>
    </row>
    <row r="10" spans="1:26" x14ac:dyDescent="0.25">
      <c r="A10" s="50">
        <v>8</v>
      </c>
      <c r="B10" s="51" t="s">
        <v>1392</v>
      </c>
      <c r="C10" s="52" t="s">
        <v>1503</v>
      </c>
      <c r="D10" s="20"/>
      <c r="E10" s="19">
        <v>336344276</v>
      </c>
      <c r="F10" s="19">
        <v>0</v>
      </c>
      <c r="G10" s="19">
        <v>0.90706620998618392</v>
      </c>
      <c r="H10" s="19">
        <v>0.90706620998618392</v>
      </c>
      <c r="T10" s="3" t="s">
        <v>1393</v>
      </c>
      <c r="U10" s="3" t="s">
        <v>1504</v>
      </c>
      <c r="V10" s="3"/>
      <c r="W10" s="3">
        <v>302693259.19999999</v>
      </c>
      <c r="X10" s="3">
        <f t="shared" si="0"/>
        <v>0</v>
      </c>
      <c r="Y10" s="3">
        <f t="shared" si="1"/>
        <v>0.8163148505934722</v>
      </c>
      <c r="Z10" s="3">
        <f t="shared" si="2"/>
        <v>0.8163148505934722</v>
      </c>
    </row>
    <row r="11" spans="1:26" x14ac:dyDescent="0.25">
      <c r="A11" s="47">
        <v>9</v>
      </c>
      <c r="B11" s="48" t="s">
        <v>1393</v>
      </c>
      <c r="C11" s="49" t="s">
        <v>1504</v>
      </c>
      <c r="D11" s="56"/>
      <c r="E11" s="57">
        <v>302693259.19999999</v>
      </c>
      <c r="F11" s="57">
        <v>0</v>
      </c>
      <c r="G11" s="57">
        <v>0.8163148505934722</v>
      </c>
      <c r="H11" s="57">
        <v>0.8163148505934722</v>
      </c>
      <c r="T11" s="3" t="s">
        <v>30</v>
      </c>
      <c r="U11" s="3" t="s">
        <v>37</v>
      </c>
      <c r="V11" s="3">
        <v>243007130.90000001</v>
      </c>
      <c r="W11" s="3">
        <v>526528196.5</v>
      </c>
      <c r="X11" s="3">
        <f t="shared" si="0"/>
        <v>0.60443699977341492</v>
      </c>
      <c r="Y11" s="3">
        <f t="shared" si="1"/>
        <v>1.4199615386055082</v>
      </c>
      <c r="Z11" s="3">
        <f t="shared" si="2"/>
        <v>0.8155245388320933</v>
      </c>
    </row>
    <row r="12" spans="1:26" ht="15.75" thickBot="1" x14ac:dyDescent="0.3">
      <c r="A12" s="53">
        <v>10</v>
      </c>
      <c r="B12" s="54" t="s">
        <v>30</v>
      </c>
      <c r="C12" s="55" t="s">
        <v>37</v>
      </c>
      <c r="D12" s="20">
        <v>243007130.90000001</v>
      </c>
      <c r="E12" s="19">
        <v>526528196.5</v>
      </c>
      <c r="F12" s="19">
        <v>0.60443699977341492</v>
      </c>
      <c r="G12" s="19">
        <v>1.4199615386055082</v>
      </c>
      <c r="H12" s="19">
        <v>0.8155245388320933</v>
      </c>
      <c r="T12" s="3" t="s">
        <v>1369</v>
      </c>
      <c r="U12" s="3" t="s">
        <v>1505</v>
      </c>
      <c r="V12" s="3"/>
      <c r="W12" s="3">
        <v>288501210.69999999</v>
      </c>
      <c r="X12" s="3">
        <f t="shared" si="0"/>
        <v>0</v>
      </c>
      <c r="Y12" s="3">
        <f t="shared" si="1"/>
        <v>0.77804118707842818</v>
      </c>
      <c r="Z12" s="3">
        <f t="shared" si="2"/>
        <v>0.77804118707842818</v>
      </c>
    </row>
    <row r="13" spans="1:26" x14ac:dyDescent="0.25">
      <c r="T13" s="3" t="s">
        <v>27</v>
      </c>
      <c r="U13" s="3" t="s">
        <v>28</v>
      </c>
      <c r="V13" s="3">
        <v>395796137.30000001</v>
      </c>
      <c r="W13" s="3">
        <v>642451165.89999998</v>
      </c>
      <c r="X13" s="3">
        <f t="shared" si="0"/>
        <v>0.98447246739424221</v>
      </c>
      <c r="Y13" s="3">
        <f t="shared" si="1"/>
        <v>1.7325870714509144</v>
      </c>
      <c r="Z13" s="3">
        <f t="shared" si="2"/>
        <v>0.74811460405667218</v>
      </c>
    </row>
    <row r="14" spans="1:26" x14ac:dyDescent="0.25">
      <c r="T14" s="3">
        <v>90694</v>
      </c>
      <c r="U14" s="3" t="s">
        <v>1506</v>
      </c>
      <c r="V14" s="3"/>
      <c r="W14" s="3">
        <v>269257212.60000002</v>
      </c>
      <c r="X14" s="3">
        <f t="shared" si="0"/>
        <v>0</v>
      </c>
      <c r="Y14" s="3">
        <f t="shared" si="1"/>
        <v>0.7261432311234759</v>
      </c>
      <c r="Z14" s="3">
        <f t="shared" si="2"/>
        <v>0.7261432311234759</v>
      </c>
    </row>
    <row r="15" spans="1:26" x14ac:dyDescent="0.25">
      <c r="T15" s="3" t="s">
        <v>1394</v>
      </c>
      <c r="U15" s="3" t="s">
        <v>1507</v>
      </c>
      <c r="V15" s="3"/>
      <c r="W15" s="3">
        <v>266191359.40000001</v>
      </c>
      <c r="X15" s="3">
        <f t="shared" si="0"/>
        <v>0</v>
      </c>
      <c r="Y15" s="3">
        <f t="shared" si="1"/>
        <v>0.71787512002145126</v>
      </c>
      <c r="Z15" s="3">
        <f t="shared" si="2"/>
        <v>0.71787512002145126</v>
      </c>
    </row>
    <row r="16" spans="1:26" x14ac:dyDescent="0.25">
      <c r="T16" s="3" t="s">
        <v>22</v>
      </c>
      <c r="U16" s="3" t="s">
        <v>24</v>
      </c>
      <c r="V16" s="3">
        <v>799286086.60000002</v>
      </c>
      <c r="W16" s="3">
        <v>988943741.60000002</v>
      </c>
      <c r="X16" s="3">
        <f t="shared" si="0"/>
        <v>1.9880819231759339</v>
      </c>
      <c r="Y16" s="3">
        <f t="shared" si="1"/>
        <v>2.6670216072970065</v>
      </c>
      <c r="Z16" s="3">
        <f t="shared" si="2"/>
        <v>0.67893968412107264</v>
      </c>
    </row>
    <row r="17" spans="9:26" x14ac:dyDescent="0.25">
      <c r="T17" s="3" t="s">
        <v>1371</v>
      </c>
      <c r="U17" s="3" t="s">
        <v>1508</v>
      </c>
      <c r="V17" s="3"/>
      <c r="W17" s="3">
        <v>233566050.90000001</v>
      </c>
      <c r="X17" s="3">
        <f t="shared" si="0"/>
        <v>0</v>
      </c>
      <c r="Y17" s="3">
        <f t="shared" si="1"/>
        <v>0.62988993031444696</v>
      </c>
      <c r="Z17" s="3">
        <f t="shared" si="2"/>
        <v>0.62988993031444696</v>
      </c>
    </row>
    <row r="18" spans="9:26" x14ac:dyDescent="0.25">
      <c r="T18" s="3" t="s">
        <v>57</v>
      </c>
      <c r="U18" s="3" t="s">
        <v>66</v>
      </c>
      <c r="V18" s="3">
        <v>207099485.90000001</v>
      </c>
      <c r="W18" s="3">
        <v>398958476.10000002</v>
      </c>
      <c r="X18" s="3">
        <f t="shared" si="0"/>
        <v>0.51512312189523757</v>
      </c>
      <c r="Y18" s="3">
        <f t="shared" si="1"/>
        <v>1.075926598667285</v>
      </c>
      <c r="Z18" s="3">
        <f t="shared" si="2"/>
        <v>0.56080347677204745</v>
      </c>
    </row>
    <row r="19" spans="9:26" x14ac:dyDescent="0.25">
      <c r="I19" s="81"/>
      <c r="T19" s="3" t="s">
        <v>1395</v>
      </c>
      <c r="U19" s="3" t="s">
        <v>1509</v>
      </c>
      <c r="V19" s="3"/>
      <c r="W19" s="3">
        <v>197482083.69999999</v>
      </c>
      <c r="X19" s="3">
        <f>V19/(R$2*12)</f>
        <v>0</v>
      </c>
      <c r="Y19" s="3">
        <f>W19/(R$3*12)</f>
        <v>0.53257729648990171</v>
      </c>
      <c r="Z19" s="3">
        <f t="shared" si="2"/>
        <v>0.53257729648990171</v>
      </c>
    </row>
    <row r="20" spans="9:26" x14ac:dyDescent="0.25">
      <c r="I20" s="81"/>
      <c r="T20" s="3" t="s">
        <v>1396</v>
      </c>
      <c r="U20" s="3" t="s">
        <v>1510</v>
      </c>
      <c r="V20" s="3"/>
      <c r="W20" s="3">
        <v>195888958.59999999</v>
      </c>
      <c r="X20" s="3">
        <f>V20/(R$2*12)</f>
        <v>0</v>
      </c>
      <c r="Y20" s="3">
        <f>W20/(R$3*12)</f>
        <v>0.52828089530336608</v>
      </c>
      <c r="Z20" s="3">
        <f t="shared" si="2"/>
        <v>0.52828089530336608</v>
      </c>
    </row>
    <row r="21" spans="9:26" x14ac:dyDescent="0.25">
      <c r="I21" s="81"/>
      <c r="T21" s="3" t="s">
        <v>1397</v>
      </c>
      <c r="U21" s="3" t="s">
        <v>1511</v>
      </c>
      <c r="V21" s="3"/>
      <c r="W21" s="3">
        <v>179470040.90000001</v>
      </c>
      <c r="X21" s="3">
        <f>V21/(R$2*12)</f>
        <v>0</v>
      </c>
      <c r="Y21" s="3">
        <f>W21/(R$3*12)</f>
        <v>0.48400172508132239</v>
      </c>
      <c r="Z21" s="3">
        <f t="shared" si="2"/>
        <v>0.48400172508132239</v>
      </c>
    </row>
    <row r="22" spans="9:26" x14ac:dyDescent="0.25">
      <c r="I22" s="81"/>
      <c r="T22" s="3" t="s">
        <v>1398</v>
      </c>
      <c r="U22" s="3" t="s">
        <v>1512</v>
      </c>
      <c r="V22" s="3"/>
      <c r="W22" s="3">
        <v>178638412.80000001</v>
      </c>
      <c r="X22" s="3">
        <f>V22/(R$2*12)</f>
        <v>0</v>
      </c>
      <c r="Y22" s="3">
        <f>W22/(R$3*12)</f>
        <v>0.48175895836099619</v>
      </c>
      <c r="Z22" s="3">
        <f t="shared" si="2"/>
        <v>0.48175895836099619</v>
      </c>
    </row>
    <row r="23" spans="9:26" x14ac:dyDescent="0.25">
      <c r="I23" s="81"/>
      <c r="T23" s="3" t="s">
        <v>1399</v>
      </c>
      <c r="U23" s="3" t="s">
        <v>1513</v>
      </c>
      <c r="V23" s="3"/>
      <c r="W23" s="3">
        <v>177654131.09999999</v>
      </c>
      <c r="X23" s="3">
        <f>V23/(R$2*12)</f>
        <v>0</v>
      </c>
      <c r="Y23" s="3">
        <f>W23/(R$3*12)</f>
        <v>0.47910450952721323</v>
      </c>
      <c r="Z23" s="3">
        <f t="shared" si="2"/>
        <v>0.47910450952721323</v>
      </c>
    </row>
    <row r="24" spans="9:26" x14ac:dyDescent="0.25">
      <c r="I24" s="81"/>
      <c r="T24" s="3" t="s">
        <v>1400</v>
      </c>
      <c r="U24" s="3" t="s">
        <v>1514</v>
      </c>
      <c r="V24" s="3"/>
      <c r="W24" s="3">
        <v>172471886.30000001</v>
      </c>
      <c r="X24" s="3">
        <f>V24/(R$2*12)</f>
        <v>0</v>
      </c>
      <c r="Y24" s="3">
        <f>W24/(R$3*12)</f>
        <v>0.46512883196891103</v>
      </c>
      <c r="Z24" s="3">
        <f t="shared" si="2"/>
        <v>0.46512883196891103</v>
      </c>
    </row>
    <row r="25" spans="9:26" x14ac:dyDescent="0.25">
      <c r="I25" s="81"/>
      <c r="T25" s="3" t="s">
        <v>34</v>
      </c>
      <c r="U25" s="3" t="s">
        <v>41</v>
      </c>
      <c r="V25" s="3">
        <v>366371064.60000002</v>
      </c>
      <c r="W25" s="3">
        <v>500152674.69999999</v>
      </c>
      <c r="X25" s="3">
        <f>V25/(R$2*12)</f>
        <v>0.91128283466605053</v>
      </c>
      <c r="Y25" s="3">
        <f>W25/(R$3*12)</f>
        <v>1.348831014607728</v>
      </c>
      <c r="Z25" s="3">
        <f t="shared" si="2"/>
        <v>0.4375481799416775</v>
      </c>
    </row>
    <row r="26" spans="9:26" x14ac:dyDescent="0.25">
      <c r="I26" s="81"/>
      <c r="T26" s="3" t="s">
        <v>1335</v>
      </c>
      <c r="U26" s="3" t="s">
        <v>1515</v>
      </c>
      <c r="V26" s="3"/>
      <c r="W26" s="3">
        <v>160042879.69999999</v>
      </c>
      <c r="X26" s="3">
        <f>V26/(R$2*12)</f>
        <v>0</v>
      </c>
      <c r="Y26" s="3">
        <f>W26/(R$3*12)</f>
        <v>0.43160980781713604</v>
      </c>
      <c r="Z26" s="3">
        <f t="shared" si="2"/>
        <v>0.43160980781713604</v>
      </c>
    </row>
    <row r="27" spans="9:26" x14ac:dyDescent="0.25">
      <c r="I27" s="81"/>
      <c r="T27" s="3" t="s">
        <v>55</v>
      </c>
      <c r="U27" s="3" t="s">
        <v>64</v>
      </c>
      <c r="V27" s="3">
        <v>269500416.69999999</v>
      </c>
      <c r="W27" s="3">
        <v>408091302.69999999</v>
      </c>
      <c r="X27" s="3">
        <f>V27/(R$2*12)</f>
        <v>0.67033433424168343</v>
      </c>
      <c r="Y27" s="3">
        <f>W27/(R$3*12)</f>
        <v>1.100556357523425</v>
      </c>
      <c r="Z27" s="3">
        <f t="shared" si="2"/>
        <v>0.43022202328174153</v>
      </c>
    </row>
    <row r="28" spans="9:26" x14ac:dyDescent="0.25">
      <c r="I28" s="81"/>
      <c r="T28" s="3" t="s">
        <v>1325</v>
      </c>
      <c r="U28" s="3" t="s">
        <v>1516</v>
      </c>
      <c r="V28" s="3"/>
      <c r="W28" s="3">
        <v>159309828.69999999</v>
      </c>
      <c r="X28" s="3">
        <f>V28/(R$2*12)</f>
        <v>0</v>
      </c>
      <c r="Y28" s="3">
        <f>W28/(R$3*12)</f>
        <v>0.42963288762035351</v>
      </c>
      <c r="Z28" s="3">
        <f t="shared" si="2"/>
        <v>0.42963288762035351</v>
      </c>
    </row>
    <row r="29" spans="9:26" x14ac:dyDescent="0.25">
      <c r="I29" s="81"/>
      <c r="T29" s="3" t="s">
        <v>1390</v>
      </c>
      <c r="U29" s="3" t="s">
        <v>1501</v>
      </c>
      <c r="V29" s="3">
        <v>488832129.60000002</v>
      </c>
      <c r="W29" s="3">
        <v>608203406.60000002</v>
      </c>
      <c r="X29" s="3">
        <f>V29/(R$2*12)</f>
        <v>1.2158829443151669</v>
      </c>
      <c r="Y29" s="3">
        <f>W29/(R$3*12)</f>
        <v>1.640226393879074</v>
      </c>
      <c r="Z29" s="3">
        <f t="shared" si="2"/>
        <v>0.42434344956390713</v>
      </c>
    </row>
    <row r="30" spans="9:26" x14ac:dyDescent="0.25">
      <c r="I30" s="81"/>
      <c r="T30" s="3" t="s">
        <v>33</v>
      </c>
      <c r="U30" s="3" t="s">
        <v>40</v>
      </c>
      <c r="V30" s="3">
        <v>378891062.69999999</v>
      </c>
      <c r="W30" s="3">
        <v>504586233.39999998</v>
      </c>
      <c r="X30" s="3">
        <f>V30/(R$2*12)</f>
        <v>0.94242410225233775</v>
      </c>
      <c r="Y30" s="3">
        <f>W30/(R$3*12)</f>
        <v>1.3607876066288163</v>
      </c>
      <c r="Z30" s="3">
        <f t="shared" si="2"/>
        <v>0.41836350437647851</v>
      </c>
    </row>
    <row r="31" spans="9:26" x14ac:dyDescent="0.25">
      <c r="T31" s="3" t="s">
        <v>1401</v>
      </c>
      <c r="U31" s="3" t="s">
        <v>1517</v>
      </c>
      <c r="V31" s="3"/>
      <c r="W31" s="3">
        <v>154355577.09999999</v>
      </c>
      <c r="X31" s="3">
        <f t="shared" si="0"/>
        <v>0</v>
      </c>
      <c r="Y31" s="3">
        <f t="shared" si="1"/>
        <v>0.41627207091321866</v>
      </c>
      <c r="Z31" s="3">
        <f t="shared" si="2"/>
        <v>0.41627207091321866</v>
      </c>
    </row>
    <row r="32" spans="9:26" x14ac:dyDescent="0.25">
      <c r="T32" s="3" t="s">
        <v>1402</v>
      </c>
      <c r="U32" s="3" t="s">
        <v>1518</v>
      </c>
      <c r="V32" s="3"/>
      <c r="W32" s="3">
        <v>144583755.69999999</v>
      </c>
      <c r="X32" s="3">
        <f t="shared" si="0"/>
        <v>0</v>
      </c>
      <c r="Y32" s="3">
        <f t="shared" si="1"/>
        <v>0.38991904624643381</v>
      </c>
      <c r="Z32" s="3">
        <f t="shared" si="2"/>
        <v>0.38991904624643381</v>
      </c>
    </row>
    <row r="33" spans="20:26" x14ac:dyDescent="0.25">
      <c r="T33" s="3" t="s">
        <v>1403</v>
      </c>
      <c r="U33" s="3" t="s">
        <v>1519</v>
      </c>
      <c r="V33" s="3"/>
      <c r="W33" s="3">
        <v>138164554.59999999</v>
      </c>
      <c r="X33" s="3">
        <f t="shared" si="0"/>
        <v>0</v>
      </c>
      <c r="Y33" s="3">
        <f t="shared" si="1"/>
        <v>0.37260749725216419</v>
      </c>
      <c r="Z33" s="3">
        <f t="shared" si="2"/>
        <v>0.37260749725216419</v>
      </c>
    </row>
    <row r="34" spans="20:26" x14ac:dyDescent="0.25">
      <c r="T34" s="3" t="s">
        <v>95</v>
      </c>
      <c r="U34" s="3" t="s">
        <v>99</v>
      </c>
      <c r="V34" s="3">
        <v>153223416.90000001</v>
      </c>
      <c r="W34" s="3">
        <v>254253809.69999999</v>
      </c>
      <c r="X34" s="3">
        <f t="shared" si="0"/>
        <v>0.38111598644477129</v>
      </c>
      <c r="Y34" s="3">
        <f t="shared" si="1"/>
        <v>0.68568147578384064</v>
      </c>
      <c r="Z34" s="3">
        <f t="shared" si="2"/>
        <v>0.30456548933906935</v>
      </c>
    </row>
    <row r="35" spans="20:26" x14ac:dyDescent="0.25">
      <c r="T35" s="3" t="s">
        <v>1404</v>
      </c>
      <c r="U35" s="3" t="s">
        <v>1520</v>
      </c>
      <c r="V35" s="3"/>
      <c r="W35" s="3">
        <v>109118974.40000001</v>
      </c>
      <c r="X35" s="3">
        <f t="shared" si="0"/>
        <v>0</v>
      </c>
      <c r="Y35" s="3">
        <f t="shared" si="1"/>
        <v>0.29427625682735692</v>
      </c>
      <c r="Z35" s="3">
        <f t="shared" si="2"/>
        <v>0.29427625682735692</v>
      </c>
    </row>
    <row r="36" spans="20:26" x14ac:dyDescent="0.25">
      <c r="T36" s="3" t="s">
        <v>110</v>
      </c>
      <c r="U36" s="3" t="s">
        <v>115</v>
      </c>
      <c r="V36" s="3">
        <v>118484557.8</v>
      </c>
      <c r="W36" s="3">
        <v>210518708.09999999</v>
      </c>
      <c r="X36" s="3">
        <f t="shared" si="0"/>
        <v>0.29470925553037658</v>
      </c>
      <c r="Y36" s="3">
        <f t="shared" si="1"/>
        <v>0.56773496774910104</v>
      </c>
      <c r="Z36" s="3">
        <f t="shared" si="2"/>
        <v>0.27302571221872446</v>
      </c>
    </row>
    <row r="37" spans="20:26" x14ac:dyDescent="0.25">
      <c r="T37" s="3" t="s">
        <v>58</v>
      </c>
      <c r="U37" s="3" t="s">
        <v>67</v>
      </c>
      <c r="V37" s="3">
        <v>296770200.5</v>
      </c>
      <c r="W37" s="3">
        <v>370063974.80000001</v>
      </c>
      <c r="X37" s="3">
        <f t="shared" si="0"/>
        <v>0.73816306932240228</v>
      </c>
      <c r="Y37" s="3">
        <f t="shared" si="1"/>
        <v>0.9980027936442678</v>
      </c>
      <c r="Z37" s="3">
        <f t="shared" si="2"/>
        <v>0.25983972432186553</v>
      </c>
    </row>
    <row r="38" spans="20:26" x14ac:dyDescent="0.25">
      <c r="T38" s="3" t="s">
        <v>1405</v>
      </c>
      <c r="U38" s="3" t="s">
        <v>1521</v>
      </c>
      <c r="V38" s="3"/>
      <c r="W38" s="3">
        <v>96029680.510000005</v>
      </c>
      <c r="X38" s="3">
        <f t="shared" si="0"/>
        <v>0</v>
      </c>
      <c r="Y38" s="3">
        <f t="shared" si="1"/>
        <v>0.25897654445705454</v>
      </c>
      <c r="Z38" s="3">
        <f t="shared" si="2"/>
        <v>0.25897654445705454</v>
      </c>
    </row>
    <row r="39" spans="20:26" x14ac:dyDescent="0.25">
      <c r="T39" s="3" t="s">
        <v>109</v>
      </c>
      <c r="U39" s="3" t="s">
        <v>114</v>
      </c>
      <c r="V39" s="3">
        <v>139013934.90000001</v>
      </c>
      <c r="W39" s="3">
        <v>222552652.69999999</v>
      </c>
      <c r="X39" s="3">
        <f t="shared" si="0"/>
        <v>0.34577242826767113</v>
      </c>
      <c r="Y39" s="3">
        <f t="shared" si="1"/>
        <v>0.60018857346916898</v>
      </c>
      <c r="Z39" s="3">
        <f t="shared" si="2"/>
        <v>0.25441614520149786</v>
      </c>
    </row>
    <row r="40" spans="20:26" x14ac:dyDescent="0.25">
      <c r="T40" s="3" t="s">
        <v>131</v>
      </c>
      <c r="U40" s="3" t="s">
        <v>134</v>
      </c>
      <c r="V40" s="3">
        <v>72284678.290000007</v>
      </c>
      <c r="W40" s="3">
        <v>160197748.5</v>
      </c>
      <c r="X40" s="3">
        <f t="shared" si="0"/>
        <v>0.17979527560931383</v>
      </c>
      <c r="Y40" s="3">
        <f t="shared" si="1"/>
        <v>0.43202746396735137</v>
      </c>
      <c r="Z40" s="3">
        <f t="shared" si="2"/>
        <v>0.25223218835803751</v>
      </c>
    </row>
    <row r="41" spans="20:26" x14ac:dyDescent="0.25">
      <c r="T41" s="3" t="s">
        <v>80</v>
      </c>
      <c r="U41" s="3" t="s">
        <v>83</v>
      </c>
      <c r="V41" s="3">
        <v>266320982.19999999</v>
      </c>
      <c r="W41" s="3">
        <v>333905536.89999998</v>
      </c>
      <c r="X41" s="3">
        <f t="shared" si="0"/>
        <v>0.6624260566407808</v>
      </c>
      <c r="Y41" s="3">
        <f t="shared" si="1"/>
        <v>0.90048932436502904</v>
      </c>
      <c r="Z41" s="3">
        <f t="shared" si="2"/>
        <v>0.23806326772424824</v>
      </c>
    </row>
    <row r="42" spans="20:26" x14ac:dyDescent="0.25">
      <c r="T42" s="3" t="s">
        <v>1406</v>
      </c>
      <c r="U42" s="3" t="s">
        <v>1522</v>
      </c>
      <c r="V42" s="3"/>
      <c r="W42" s="3">
        <v>88260767.989999995</v>
      </c>
      <c r="X42" s="3">
        <f t="shared" si="0"/>
        <v>0</v>
      </c>
      <c r="Y42" s="3">
        <f t="shared" si="1"/>
        <v>0.23802504167235833</v>
      </c>
      <c r="Z42" s="3">
        <f t="shared" si="2"/>
        <v>0.23802504167235833</v>
      </c>
    </row>
    <row r="43" spans="20:26" x14ac:dyDescent="0.25">
      <c r="T43" s="3" t="s">
        <v>1354</v>
      </c>
      <c r="U43" s="3" t="s">
        <v>1523</v>
      </c>
      <c r="V43" s="3">
        <v>261027.51</v>
      </c>
      <c r="W43" s="3">
        <v>87251749.980000004</v>
      </c>
      <c r="X43" s="3">
        <f t="shared" si="0"/>
        <v>6.492594864125654E-4</v>
      </c>
      <c r="Y43" s="3">
        <f t="shared" si="1"/>
        <v>0.23530388300415345</v>
      </c>
      <c r="Z43" s="3">
        <f t="shared" si="2"/>
        <v>0.23465462351774088</v>
      </c>
    </row>
    <row r="44" spans="20:26" x14ac:dyDescent="0.25">
      <c r="T44" s="3" t="s">
        <v>1343</v>
      </c>
      <c r="U44" s="3" t="s">
        <v>1524</v>
      </c>
      <c r="V44" s="3"/>
      <c r="W44" s="3">
        <v>85195357.75</v>
      </c>
      <c r="X44" s="3">
        <f t="shared" si="0"/>
        <v>0</v>
      </c>
      <c r="Y44" s="3">
        <f t="shared" si="1"/>
        <v>0.22975812516193841</v>
      </c>
      <c r="Z44" s="3">
        <f t="shared" si="2"/>
        <v>0.22975812516193841</v>
      </c>
    </row>
    <row r="45" spans="20:26" x14ac:dyDescent="0.25">
      <c r="T45" s="3" t="s">
        <v>98</v>
      </c>
      <c r="U45" s="3" t="s">
        <v>102</v>
      </c>
      <c r="V45" s="3">
        <v>171666328</v>
      </c>
      <c r="W45" s="3">
        <v>243387335.5</v>
      </c>
      <c r="X45" s="3">
        <f t="shared" si="0"/>
        <v>0.42698944625266128</v>
      </c>
      <c r="Y45" s="3">
        <f t="shared" si="1"/>
        <v>0.65637634924585664</v>
      </c>
      <c r="Z45" s="3">
        <f t="shared" si="2"/>
        <v>0.22938690299319536</v>
      </c>
    </row>
    <row r="46" spans="20:26" x14ac:dyDescent="0.25">
      <c r="T46" s="3" t="s">
        <v>1407</v>
      </c>
      <c r="U46" s="3" t="s">
        <v>1525</v>
      </c>
      <c r="V46" s="3"/>
      <c r="W46" s="3">
        <v>82896518.890000001</v>
      </c>
      <c r="X46" s="3">
        <f t="shared" si="0"/>
        <v>0</v>
      </c>
      <c r="Y46" s="3">
        <f t="shared" si="1"/>
        <v>0.22355852790133524</v>
      </c>
      <c r="Z46" s="3">
        <f t="shared" si="2"/>
        <v>0.22355852790133524</v>
      </c>
    </row>
    <row r="47" spans="20:26" x14ac:dyDescent="0.25">
      <c r="T47" s="3" t="s">
        <v>96</v>
      </c>
      <c r="U47" s="3" t="s">
        <v>100</v>
      </c>
      <c r="V47" s="3">
        <v>186163594.09999999</v>
      </c>
      <c r="W47" s="3">
        <v>253875005.69999999</v>
      </c>
      <c r="X47" s="3">
        <f t="shared" si="0"/>
        <v>0.46304881617298993</v>
      </c>
      <c r="Y47" s="3">
        <f t="shared" si="1"/>
        <v>0.68465990255329878</v>
      </c>
      <c r="Z47" s="3">
        <f t="shared" si="2"/>
        <v>0.22161108638030885</v>
      </c>
    </row>
    <row r="48" spans="20:26" x14ac:dyDescent="0.25">
      <c r="T48" s="3" t="s">
        <v>54</v>
      </c>
      <c r="U48" s="3" t="s">
        <v>63</v>
      </c>
      <c r="V48" s="3">
        <v>370456943.5</v>
      </c>
      <c r="W48" s="3">
        <v>423591151.10000002</v>
      </c>
      <c r="X48" s="3">
        <f t="shared" si="0"/>
        <v>0.92144573142799691</v>
      </c>
      <c r="Y48" s="3">
        <f t="shared" si="1"/>
        <v>1.142356946226021</v>
      </c>
      <c r="Z48" s="3">
        <f t="shared" si="2"/>
        <v>0.22091121479802411</v>
      </c>
    </row>
    <row r="49" spans="20:26" x14ac:dyDescent="0.25">
      <c r="T49" s="3" t="s">
        <v>174</v>
      </c>
      <c r="U49" s="3" t="s">
        <v>180</v>
      </c>
      <c r="V49" s="3">
        <v>23024145.989999998</v>
      </c>
      <c r="W49" s="3">
        <v>102552113</v>
      </c>
      <c r="X49" s="3">
        <f t="shared" si="0"/>
        <v>5.7268466456103909E-2</v>
      </c>
      <c r="Y49" s="3">
        <f t="shared" si="1"/>
        <v>0.27656649184356824</v>
      </c>
      <c r="Z49" s="3">
        <f t="shared" si="2"/>
        <v>0.21929802538746435</v>
      </c>
    </row>
    <row r="50" spans="20:26" x14ac:dyDescent="0.25">
      <c r="T50" s="3" t="s">
        <v>82</v>
      </c>
      <c r="U50" s="3" t="s">
        <v>85</v>
      </c>
      <c r="V50" s="3">
        <v>248150982.59999999</v>
      </c>
      <c r="W50" s="3">
        <v>308197166.69999999</v>
      </c>
      <c r="X50" s="3">
        <f t="shared" si="0"/>
        <v>0.61723141562990602</v>
      </c>
      <c r="Y50" s="3">
        <f t="shared" si="1"/>
        <v>0.83115800052161171</v>
      </c>
      <c r="Z50" s="3">
        <f t="shared" si="2"/>
        <v>0.21392658489170568</v>
      </c>
    </row>
    <row r="51" spans="20:26" x14ac:dyDescent="0.25">
      <c r="T51" s="3" t="s">
        <v>121</v>
      </c>
      <c r="U51" s="3" t="s">
        <v>123</v>
      </c>
      <c r="V51" s="3">
        <v>113562036.5</v>
      </c>
      <c r="W51" s="3">
        <v>182463588.59999999</v>
      </c>
      <c r="X51" s="3">
        <f t="shared" si="0"/>
        <v>0.28246535966249309</v>
      </c>
      <c r="Y51" s="3">
        <f t="shared" si="1"/>
        <v>0.49207483992348444</v>
      </c>
      <c r="Z51" s="3">
        <f t="shared" si="2"/>
        <v>0.20960948026099135</v>
      </c>
    </row>
    <row r="52" spans="20:26" x14ac:dyDescent="0.25">
      <c r="T52" s="3" t="s">
        <v>90</v>
      </c>
      <c r="U52" s="3" t="s">
        <v>92</v>
      </c>
      <c r="V52" s="3">
        <v>229831522.5</v>
      </c>
      <c r="W52" s="3">
        <v>288597502.60000002</v>
      </c>
      <c r="X52" s="3">
        <f t="shared" si="0"/>
        <v>0.57166501821883819</v>
      </c>
      <c r="Y52" s="3">
        <f t="shared" si="1"/>
        <v>0.77830087078651478</v>
      </c>
      <c r="Z52" s="3">
        <f t="shared" si="2"/>
        <v>0.20663585256767658</v>
      </c>
    </row>
    <row r="53" spans="20:26" x14ac:dyDescent="0.25">
      <c r="T53" s="3" t="s">
        <v>1366</v>
      </c>
      <c r="U53" s="3" t="s">
        <v>1530</v>
      </c>
      <c r="V53" s="3"/>
      <c r="W53" s="3">
        <v>68338781.280000001</v>
      </c>
      <c r="X53" s="3">
        <f t="shared" si="0"/>
        <v>0</v>
      </c>
      <c r="Y53" s="3">
        <f t="shared" si="1"/>
        <v>0.18429865989669578</v>
      </c>
      <c r="Z53" s="3">
        <f t="shared" si="2"/>
        <v>0.18429865989669578</v>
      </c>
    </row>
    <row r="54" spans="20:26" x14ac:dyDescent="0.25">
      <c r="T54" s="3" t="s">
        <v>1410</v>
      </c>
      <c r="U54" s="3" t="s">
        <v>1531</v>
      </c>
      <c r="V54" s="3"/>
      <c r="W54" s="3">
        <v>66538895.909999996</v>
      </c>
      <c r="X54" s="3">
        <f t="shared" si="0"/>
        <v>0</v>
      </c>
      <c r="Y54" s="3">
        <f t="shared" si="1"/>
        <v>0.17944465964317136</v>
      </c>
      <c r="Z54" s="3">
        <f t="shared" si="2"/>
        <v>0.17944465964317136</v>
      </c>
    </row>
    <row r="55" spans="20:26" x14ac:dyDescent="0.25">
      <c r="T55" s="3" t="s">
        <v>1411</v>
      </c>
      <c r="U55" s="3" t="s">
        <v>1532</v>
      </c>
      <c r="V55" s="3"/>
      <c r="W55" s="3">
        <v>63872984.100000001</v>
      </c>
      <c r="X55" s="3">
        <f t="shared" si="0"/>
        <v>0</v>
      </c>
      <c r="Y55" s="3">
        <f t="shared" si="1"/>
        <v>0.1722551258999121</v>
      </c>
      <c r="Z55" s="3">
        <f t="shared" si="2"/>
        <v>0.1722551258999121</v>
      </c>
    </row>
    <row r="56" spans="20:26" x14ac:dyDescent="0.25">
      <c r="T56" s="3" t="s">
        <v>1327</v>
      </c>
      <c r="U56" s="3" t="s">
        <v>1533</v>
      </c>
      <c r="V56" s="3"/>
      <c r="W56" s="3">
        <v>59996201.530000001</v>
      </c>
      <c r="X56" s="3">
        <f t="shared" si="0"/>
        <v>0</v>
      </c>
      <c r="Y56" s="3">
        <f t="shared" si="1"/>
        <v>0.16180006921058585</v>
      </c>
      <c r="Z56" s="3">
        <f t="shared" si="2"/>
        <v>0.16180006921058585</v>
      </c>
    </row>
    <row r="57" spans="20:26" x14ac:dyDescent="0.25">
      <c r="T57" s="3" t="s">
        <v>1331</v>
      </c>
      <c r="U57" s="3" t="s">
        <v>1528</v>
      </c>
      <c r="V57" s="3">
        <v>16806704.149999999</v>
      </c>
      <c r="W57" s="3">
        <v>75403320.909999996</v>
      </c>
      <c r="X57" s="3">
        <f t="shared" si="0"/>
        <v>4.1803686150616581E-2</v>
      </c>
      <c r="Y57" s="3">
        <f t="shared" si="1"/>
        <v>0.20335058271723247</v>
      </c>
      <c r="Z57" s="3">
        <f t="shared" si="2"/>
        <v>0.16154689656661589</v>
      </c>
    </row>
    <row r="58" spans="20:26" x14ac:dyDescent="0.25">
      <c r="T58" s="3" t="s">
        <v>81</v>
      </c>
      <c r="U58" s="3" t="s">
        <v>84</v>
      </c>
      <c r="V58" s="3">
        <v>274360293.10000002</v>
      </c>
      <c r="W58" s="3">
        <v>311732182.5</v>
      </c>
      <c r="X58" s="3">
        <f t="shared" si="0"/>
        <v>0.68242241206724508</v>
      </c>
      <c r="Y58" s="3">
        <f t="shared" si="1"/>
        <v>0.8406913674100891</v>
      </c>
      <c r="Z58" s="3">
        <f t="shared" si="2"/>
        <v>0.15826895534284402</v>
      </c>
    </row>
    <row r="59" spans="20:26" x14ac:dyDescent="0.25">
      <c r="T59" s="3" t="s">
        <v>129</v>
      </c>
      <c r="U59" s="3" t="s">
        <v>132</v>
      </c>
      <c r="V59" s="3">
        <v>117142528.40000001</v>
      </c>
      <c r="W59" s="3">
        <v>164383359.59999999</v>
      </c>
      <c r="X59" s="3">
        <f t="shared" si="0"/>
        <v>0.29137119618561802</v>
      </c>
      <c r="Y59" s="3">
        <f t="shared" si="1"/>
        <v>0.44331538134208642</v>
      </c>
      <c r="Z59" s="3">
        <f t="shared" si="2"/>
        <v>0.1519441851564684</v>
      </c>
    </row>
    <row r="60" spans="20:26" x14ac:dyDescent="0.25">
      <c r="T60" s="3" t="s">
        <v>1412</v>
      </c>
      <c r="U60" s="3" t="s">
        <v>1534</v>
      </c>
      <c r="V60" s="3"/>
      <c r="W60" s="3">
        <v>56144672.479999997</v>
      </c>
      <c r="X60" s="3">
        <f t="shared" si="0"/>
        <v>0</v>
      </c>
      <c r="Y60" s="3">
        <f t="shared" si="1"/>
        <v>0.15141311718754863</v>
      </c>
      <c r="Z60" s="3">
        <f t="shared" si="2"/>
        <v>0.15141311718754863</v>
      </c>
    </row>
    <row r="61" spans="20:26" x14ac:dyDescent="0.25">
      <c r="T61" s="3" t="s">
        <v>1413</v>
      </c>
      <c r="U61" s="3" t="s">
        <v>1535</v>
      </c>
      <c r="V61" s="3"/>
      <c r="W61" s="3">
        <v>55200909.93</v>
      </c>
      <c r="X61" s="3">
        <f t="shared" si="0"/>
        <v>0</v>
      </c>
      <c r="Y61" s="3">
        <f t="shared" si="1"/>
        <v>0.14886794195954683</v>
      </c>
      <c r="Z61" s="3">
        <f t="shared" si="2"/>
        <v>0.14886794195954683</v>
      </c>
    </row>
    <row r="62" spans="20:26" x14ac:dyDescent="0.25">
      <c r="T62" s="3" t="s">
        <v>1414</v>
      </c>
      <c r="U62" s="3" t="s">
        <v>1536</v>
      </c>
      <c r="V62" s="3"/>
      <c r="W62" s="3">
        <v>52270180.299999997</v>
      </c>
      <c r="X62" s="3">
        <f t="shared" si="0"/>
        <v>0</v>
      </c>
      <c r="Y62" s="3">
        <f t="shared" si="1"/>
        <v>0.14096423731027161</v>
      </c>
      <c r="Z62" s="3">
        <f t="shared" si="2"/>
        <v>0.14096423731027161</v>
      </c>
    </row>
    <row r="63" spans="20:26" x14ac:dyDescent="0.25">
      <c r="T63" s="3" t="s">
        <v>147</v>
      </c>
      <c r="U63" s="3" t="s">
        <v>150</v>
      </c>
      <c r="V63" s="3">
        <v>97176724.329999998</v>
      </c>
      <c r="W63" s="3">
        <v>141653448.30000001</v>
      </c>
      <c r="X63" s="3">
        <f t="shared" si="0"/>
        <v>0.24170981108371009</v>
      </c>
      <c r="Y63" s="3">
        <f t="shared" si="1"/>
        <v>0.3820164802833001</v>
      </c>
      <c r="Z63" s="3">
        <f t="shared" si="2"/>
        <v>0.14030666919959001</v>
      </c>
    </row>
    <row r="64" spans="20:26" x14ac:dyDescent="0.25">
      <c r="T64" s="3">
        <v>90662</v>
      </c>
      <c r="U64" s="3" t="s">
        <v>44</v>
      </c>
      <c r="V64" s="3">
        <v>461229753.69999999</v>
      </c>
      <c r="W64" s="3">
        <v>477053148.10000002</v>
      </c>
      <c r="X64" s="3">
        <f t="shared" si="0"/>
        <v>1.1472269455639217</v>
      </c>
      <c r="Y64" s="3">
        <f t="shared" si="1"/>
        <v>1.2865353207587951</v>
      </c>
      <c r="Z64" s="3">
        <f t="shared" si="2"/>
        <v>0.13930837519487338</v>
      </c>
    </row>
    <row r="65" spans="20:26" x14ac:dyDescent="0.25">
      <c r="T65" s="3" t="s">
        <v>53</v>
      </c>
      <c r="U65" s="3" t="s">
        <v>62</v>
      </c>
      <c r="V65" s="3">
        <v>414142370.10000002</v>
      </c>
      <c r="W65" s="3">
        <v>432652274</v>
      </c>
      <c r="X65" s="3">
        <f t="shared" si="0"/>
        <v>1.0301054571328847</v>
      </c>
      <c r="Y65" s="3">
        <f t="shared" si="1"/>
        <v>1.1667933317797385</v>
      </c>
      <c r="Z65" s="3">
        <f t="shared" si="2"/>
        <v>0.13668787464685384</v>
      </c>
    </row>
    <row r="66" spans="20:26" x14ac:dyDescent="0.25">
      <c r="T66" s="3" t="s">
        <v>89</v>
      </c>
      <c r="U66" s="3" t="s">
        <v>91</v>
      </c>
      <c r="V66" s="3">
        <v>269991281.89999998</v>
      </c>
      <c r="W66" s="3">
        <v>299033794.10000002</v>
      </c>
      <c r="X66" s="3">
        <f t="shared" ref="X66:X129" si="3">V66/(R$2*12)</f>
        <v>0.67155527408687365</v>
      </c>
      <c r="Y66" s="3">
        <f t="shared" ref="Y66:Y129" si="4">W66/(R$3*12)</f>
        <v>0.80644586403508733</v>
      </c>
      <c r="Z66" s="3">
        <f t="shared" ref="Z66:Z129" si="5">Y66-X66</f>
        <v>0.13489058994821368</v>
      </c>
    </row>
    <row r="67" spans="20:26" x14ac:dyDescent="0.25">
      <c r="T67" s="3" t="s">
        <v>155</v>
      </c>
      <c r="U67" s="3" t="s">
        <v>161</v>
      </c>
      <c r="V67" s="3">
        <v>95639692.129999995</v>
      </c>
      <c r="W67" s="3">
        <v>137669766.80000001</v>
      </c>
      <c r="X67" s="3">
        <f t="shared" si="3"/>
        <v>0.23788671697086514</v>
      </c>
      <c r="Y67" s="3">
        <f t="shared" si="4"/>
        <v>0.37127313443846977</v>
      </c>
      <c r="Z67" s="3">
        <f t="shared" si="5"/>
        <v>0.13338641746760463</v>
      </c>
    </row>
    <row r="68" spans="20:26" x14ac:dyDescent="0.25">
      <c r="T68" s="3" t="s">
        <v>97</v>
      </c>
      <c r="U68" s="3" t="s">
        <v>101</v>
      </c>
      <c r="V68" s="3">
        <v>216603977.90000001</v>
      </c>
      <c r="W68" s="3">
        <v>248357392</v>
      </c>
      <c r="X68" s="3">
        <f t="shared" si="3"/>
        <v>0.53876385460778708</v>
      </c>
      <c r="Y68" s="3">
        <f t="shared" si="4"/>
        <v>0.66977978921660908</v>
      </c>
      <c r="Z68" s="3">
        <f t="shared" si="5"/>
        <v>0.13101593460882199</v>
      </c>
    </row>
    <row r="69" spans="20:26" x14ac:dyDescent="0.25">
      <c r="T69" s="3" t="s">
        <v>1409</v>
      </c>
      <c r="U69" s="3" t="s">
        <v>1527</v>
      </c>
      <c r="V69" s="3">
        <v>33977994.899999999</v>
      </c>
      <c r="W69" s="3">
        <v>79095180.379999995</v>
      </c>
      <c r="X69" s="3">
        <f t="shared" si="3"/>
        <v>8.4514216597717101E-2</v>
      </c>
      <c r="Y69" s="3">
        <f t="shared" si="4"/>
        <v>0.21330693166147466</v>
      </c>
      <c r="Z69" s="3">
        <f t="shared" si="5"/>
        <v>0.12879271506375756</v>
      </c>
    </row>
    <row r="70" spans="20:26" x14ac:dyDescent="0.25">
      <c r="T70" s="3" t="s">
        <v>1321</v>
      </c>
      <c r="U70" s="3" t="s">
        <v>1538</v>
      </c>
      <c r="V70" s="3"/>
      <c r="W70" s="3">
        <v>46807920.039999999</v>
      </c>
      <c r="X70" s="3">
        <f t="shared" si="3"/>
        <v>0</v>
      </c>
      <c r="Y70" s="3">
        <f t="shared" si="4"/>
        <v>0.12623340326451443</v>
      </c>
      <c r="Z70" s="3">
        <f t="shared" si="5"/>
        <v>0.12623340326451443</v>
      </c>
    </row>
    <row r="71" spans="20:26" x14ac:dyDescent="0.25">
      <c r="T71" s="3" t="s">
        <v>60</v>
      </c>
      <c r="U71" s="3" t="s">
        <v>69</v>
      </c>
      <c r="V71" s="3">
        <v>348391515.5</v>
      </c>
      <c r="W71" s="3">
        <v>366441060.69999999</v>
      </c>
      <c r="X71" s="3">
        <f t="shared" si="3"/>
        <v>0.86656190538700428</v>
      </c>
      <c r="Y71" s="3">
        <f t="shared" si="4"/>
        <v>0.9882323792317671</v>
      </c>
      <c r="Z71" s="3">
        <f t="shared" si="5"/>
        <v>0.12167047384476282</v>
      </c>
    </row>
    <row r="72" spans="20:26" x14ac:dyDescent="0.25">
      <c r="T72" s="3" t="s">
        <v>1356</v>
      </c>
      <c r="U72" s="3" t="s">
        <v>1537</v>
      </c>
      <c r="V72" s="3">
        <v>6527098.0700000003</v>
      </c>
      <c r="W72" s="3">
        <v>51022399.509999998</v>
      </c>
      <c r="X72" s="3">
        <f t="shared" si="3"/>
        <v>1.6234995080375427E-2</v>
      </c>
      <c r="Y72" s="3">
        <f t="shared" si="4"/>
        <v>0.13759917397237534</v>
      </c>
      <c r="Z72" s="3">
        <f t="shared" si="5"/>
        <v>0.12136417889199991</v>
      </c>
    </row>
    <row r="73" spans="20:26" x14ac:dyDescent="0.25">
      <c r="T73" s="3" t="s">
        <v>138</v>
      </c>
      <c r="U73" s="3" t="s">
        <v>140</v>
      </c>
      <c r="V73" s="3">
        <v>121466519.59999999</v>
      </c>
      <c r="W73" s="3">
        <v>156744155.69999999</v>
      </c>
      <c r="X73" s="3">
        <f t="shared" si="3"/>
        <v>0.30212635492641293</v>
      </c>
      <c r="Y73" s="3">
        <f t="shared" si="4"/>
        <v>0.42271368176422686</v>
      </c>
      <c r="Z73" s="3">
        <f t="shared" si="5"/>
        <v>0.12058732683781392</v>
      </c>
    </row>
    <row r="74" spans="20:26" x14ac:dyDescent="0.25">
      <c r="T74" s="3" t="s">
        <v>36</v>
      </c>
      <c r="U74" s="3" t="s">
        <v>43</v>
      </c>
      <c r="V74" s="3">
        <v>471369647.60000002</v>
      </c>
      <c r="W74" s="3">
        <v>477381476.10000002</v>
      </c>
      <c r="X74" s="3">
        <f t="shared" si="3"/>
        <v>1.1724481274454481</v>
      </c>
      <c r="Y74" s="3">
        <f t="shared" si="4"/>
        <v>1.2874207683666274</v>
      </c>
      <c r="Z74" s="3">
        <f t="shared" si="5"/>
        <v>0.11497264092117931</v>
      </c>
    </row>
    <row r="75" spans="20:26" x14ac:dyDescent="0.25">
      <c r="T75" s="3" t="s">
        <v>1415</v>
      </c>
      <c r="U75" s="3" t="s">
        <v>1539</v>
      </c>
      <c r="V75" s="3"/>
      <c r="W75" s="3">
        <v>42318868.109999999</v>
      </c>
      <c r="X75" s="3">
        <f t="shared" si="3"/>
        <v>0</v>
      </c>
      <c r="Y75" s="3">
        <f t="shared" si="4"/>
        <v>0.11412715496143268</v>
      </c>
      <c r="Z75" s="3">
        <f t="shared" si="5"/>
        <v>0.11412715496143268</v>
      </c>
    </row>
    <row r="76" spans="20:26" x14ac:dyDescent="0.25">
      <c r="T76" s="3" t="s">
        <v>198</v>
      </c>
      <c r="U76" s="3" t="s">
        <v>199</v>
      </c>
      <c r="V76" s="3">
        <v>36533956.729999997</v>
      </c>
      <c r="W76" s="3">
        <v>74281398.689999998</v>
      </c>
      <c r="X76" s="3">
        <f t="shared" si="3"/>
        <v>9.0871716866696109E-2</v>
      </c>
      <c r="Y76" s="3">
        <f t="shared" si="4"/>
        <v>0.20032493962290882</v>
      </c>
      <c r="Z76" s="3">
        <f t="shared" si="5"/>
        <v>0.10945322275621271</v>
      </c>
    </row>
    <row r="77" spans="20:26" x14ac:dyDescent="0.25">
      <c r="T77" s="3" t="s">
        <v>56</v>
      </c>
      <c r="U77" s="3" t="s">
        <v>65</v>
      </c>
      <c r="V77" s="3">
        <v>395083351.10000002</v>
      </c>
      <c r="W77" s="3">
        <v>401920803.10000002</v>
      </c>
      <c r="X77" s="3">
        <f t="shared" si="3"/>
        <v>0.98269953854802994</v>
      </c>
      <c r="Y77" s="3">
        <f t="shared" si="4"/>
        <v>1.0839155163220922</v>
      </c>
      <c r="Z77" s="3">
        <f t="shared" si="5"/>
        <v>0.10121597777406222</v>
      </c>
    </row>
    <row r="78" spans="20:26" x14ac:dyDescent="0.25">
      <c r="T78" s="3" t="s">
        <v>1408</v>
      </c>
      <c r="U78" s="3" t="s">
        <v>1526</v>
      </c>
      <c r="V78" s="3">
        <v>49216544.880000003</v>
      </c>
      <c r="W78" s="3">
        <v>81924221.420000002</v>
      </c>
      <c r="X78" s="3">
        <f t="shared" si="3"/>
        <v>0.12241739827265631</v>
      </c>
      <c r="Y78" s="3">
        <f t="shared" si="4"/>
        <v>0.22093639860102257</v>
      </c>
      <c r="Z78" s="3">
        <f t="shared" si="5"/>
        <v>9.851900032836626E-2</v>
      </c>
    </row>
    <row r="79" spans="20:26" x14ac:dyDescent="0.25">
      <c r="T79" s="3" t="s">
        <v>1416</v>
      </c>
      <c r="U79" s="3" t="s">
        <v>1540</v>
      </c>
      <c r="V79" s="3"/>
      <c r="W79" s="3">
        <v>35024437.350000001</v>
      </c>
      <c r="X79" s="3">
        <f t="shared" si="3"/>
        <v>0</v>
      </c>
      <c r="Y79" s="3">
        <f t="shared" si="4"/>
        <v>9.445525287893719E-2</v>
      </c>
      <c r="Z79" s="3">
        <f t="shared" si="5"/>
        <v>9.445525287893719E-2</v>
      </c>
    </row>
    <row r="80" spans="20:26" x14ac:dyDescent="0.25">
      <c r="T80" s="3" t="s">
        <v>1417</v>
      </c>
      <c r="U80" s="3" t="s">
        <v>1541</v>
      </c>
      <c r="V80" s="3"/>
      <c r="W80" s="3">
        <v>32609272.190000001</v>
      </c>
      <c r="X80" s="3">
        <f t="shared" si="3"/>
        <v>0</v>
      </c>
      <c r="Y80" s="3">
        <f t="shared" si="4"/>
        <v>8.7941942367977644E-2</v>
      </c>
      <c r="Z80" s="3">
        <f t="shared" si="5"/>
        <v>8.7941942367977644E-2</v>
      </c>
    </row>
    <row r="81" spans="20:26" x14ac:dyDescent="0.25">
      <c r="T81" s="3" t="s">
        <v>130</v>
      </c>
      <c r="U81" s="3" t="s">
        <v>133</v>
      </c>
      <c r="V81" s="3">
        <v>140612425.59999999</v>
      </c>
      <c r="W81" s="3">
        <v>161942227.69999999</v>
      </c>
      <c r="X81" s="3">
        <f t="shared" si="3"/>
        <v>0.34974838946393449</v>
      </c>
      <c r="Y81" s="3">
        <f t="shared" si="4"/>
        <v>0.43673204272564636</v>
      </c>
      <c r="Z81" s="3">
        <f t="shared" si="5"/>
        <v>8.6983653261711869E-2</v>
      </c>
    </row>
    <row r="82" spans="20:26" x14ac:dyDescent="0.25">
      <c r="T82" s="3" t="s">
        <v>1418</v>
      </c>
      <c r="U82" s="3" t="s">
        <v>1542</v>
      </c>
      <c r="V82" s="3"/>
      <c r="W82" s="3">
        <v>31749710.73</v>
      </c>
      <c r="X82" s="3">
        <f t="shared" si="3"/>
        <v>0</v>
      </c>
      <c r="Y82" s="3">
        <f t="shared" si="4"/>
        <v>8.5623843885539397E-2</v>
      </c>
      <c r="Z82" s="3">
        <f t="shared" si="5"/>
        <v>8.5623843885539397E-2</v>
      </c>
    </row>
    <row r="83" spans="20:26" x14ac:dyDescent="0.25">
      <c r="T83" s="3" t="s">
        <v>1419</v>
      </c>
      <c r="U83" s="3" t="s">
        <v>1543</v>
      </c>
      <c r="V83" s="3"/>
      <c r="W83" s="3">
        <v>31071224.120000001</v>
      </c>
      <c r="X83" s="3">
        <f t="shared" si="3"/>
        <v>0</v>
      </c>
      <c r="Y83" s="3">
        <f t="shared" si="4"/>
        <v>8.3794075039230642E-2</v>
      </c>
      <c r="Z83" s="3">
        <f t="shared" si="5"/>
        <v>8.3794075039230642E-2</v>
      </c>
    </row>
    <row r="84" spans="20:26" x14ac:dyDescent="0.25">
      <c r="T84" s="3" t="s">
        <v>192</v>
      </c>
      <c r="U84" s="3" t="s">
        <v>193</v>
      </c>
      <c r="V84" s="3">
        <v>61123990.840000004</v>
      </c>
      <c r="W84" s="3">
        <v>86557906.390000001</v>
      </c>
      <c r="X84" s="3">
        <f t="shared" si="3"/>
        <v>0.15203505140230145</v>
      </c>
      <c r="Y84" s="3">
        <f t="shared" si="4"/>
        <v>0.23343269886215096</v>
      </c>
      <c r="Z84" s="3">
        <f t="shared" si="5"/>
        <v>8.1397647459849509E-2</v>
      </c>
    </row>
    <row r="85" spans="20:26" x14ac:dyDescent="0.25">
      <c r="T85" s="3" t="s">
        <v>1420</v>
      </c>
      <c r="U85" s="3" t="s">
        <v>1544</v>
      </c>
      <c r="V85" s="3"/>
      <c r="W85" s="3">
        <v>28633447.140000001</v>
      </c>
      <c r="X85" s="3">
        <f t="shared" si="3"/>
        <v>0</v>
      </c>
      <c r="Y85" s="3">
        <f t="shared" si="4"/>
        <v>7.7219784100382716E-2</v>
      </c>
      <c r="Z85" s="3">
        <f t="shared" si="5"/>
        <v>7.7219784100382716E-2</v>
      </c>
    </row>
    <row r="86" spans="20:26" x14ac:dyDescent="0.25">
      <c r="T86" s="3" t="s">
        <v>1421</v>
      </c>
      <c r="U86" s="3" t="s">
        <v>1545</v>
      </c>
      <c r="V86" s="3"/>
      <c r="W86" s="3">
        <v>27803163.32</v>
      </c>
      <c r="X86" s="3">
        <f t="shared" si="3"/>
        <v>0</v>
      </c>
      <c r="Y86" s="3">
        <f t="shared" si="4"/>
        <v>7.4980642686184096E-2</v>
      </c>
      <c r="Z86" s="3">
        <f t="shared" si="5"/>
        <v>7.4980642686184096E-2</v>
      </c>
    </row>
    <row r="87" spans="20:26" x14ac:dyDescent="0.25">
      <c r="T87" s="3" t="s">
        <v>1333</v>
      </c>
      <c r="U87" s="3" t="s">
        <v>1546</v>
      </c>
      <c r="V87" s="3"/>
      <c r="W87" s="3">
        <v>26671090.620000001</v>
      </c>
      <c r="X87" s="3">
        <f t="shared" si="3"/>
        <v>0</v>
      </c>
      <c r="Y87" s="3">
        <f t="shared" si="4"/>
        <v>7.1927625386083452E-2</v>
      </c>
      <c r="Z87" s="3">
        <f t="shared" si="5"/>
        <v>7.1927625386083452E-2</v>
      </c>
    </row>
    <row r="88" spans="20:26" x14ac:dyDescent="0.25">
      <c r="T88" s="3" t="s">
        <v>1422</v>
      </c>
      <c r="U88" s="3" t="s">
        <v>1547</v>
      </c>
      <c r="V88" s="3"/>
      <c r="W88" s="3">
        <v>26431754.32</v>
      </c>
      <c r="X88" s="3">
        <f t="shared" si="3"/>
        <v>0</v>
      </c>
      <c r="Y88" s="3">
        <f t="shared" si="4"/>
        <v>7.1282174025546208E-2</v>
      </c>
      <c r="Z88" s="3">
        <f t="shared" si="5"/>
        <v>7.1282174025546208E-2</v>
      </c>
    </row>
    <row r="89" spans="20:26" x14ac:dyDescent="0.25">
      <c r="T89" s="3" t="s">
        <v>157</v>
      </c>
      <c r="U89" s="3" t="s">
        <v>163</v>
      </c>
      <c r="V89" s="3">
        <v>113660276.90000001</v>
      </c>
      <c r="W89" s="3">
        <v>131017582.5</v>
      </c>
      <c r="X89" s="3">
        <f t="shared" si="3"/>
        <v>0.28270971517754578</v>
      </c>
      <c r="Y89" s="3">
        <f t="shared" si="4"/>
        <v>0.35333326736866238</v>
      </c>
      <c r="Z89" s="3">
        <f t="shared" si="5"/>
        <v>7.0623552191116601E-2</v>
      </c>
    </row>
    <row r="90" spans="20:26" x14ac:dyDescent="0.25">
      <c r="T90" s="3" t="s">
        <v>226</v>
      </c>
      <c r="U90" s="3" t="s">
        <v>230</v>
      </c>
      <c r="V90" s="3">
        <v>30254471.07</v>
      </c>
      <c r="W90" s="3">
        <v>54059876.149999999</v>
      </c>
      <c r="X90" s="3">
        <f t="shared" si="3"/>
        <v>7.5252613598436505E-2</v>
      </c>
      <c r="Y90" s="3">
        <f t="shared" si="4"/>
        <v>0.14579075807344197</v>
      </c>
      <c r="Z90" s="3">
        <f t="shared" si="5"/>
        <v>7.0538144475005463E-2</v>
      </c>
    </row>
    <row r="91" spans="20:26" x14ac:dyDescent="0.25">
      <c r="T91" s="3" t="s">
        <v>251</v>
      </c>
      <c r="U91" s="3" t="s">
        <v>253</v>
      </c>
      <c r="V91" s="3">
        <v>19450573.84</v>
      </c>
      <c r="W91" s="3">
        <v>44071350.950000003</v>
      </c>
      <c r="X91" s="3">
        <f t="shared" si="3"/>
        <v>4.8379841579870568E-2</v>
      </c>
      <c r="Y91" s="3">
        <f t="shared" si="4"/>
        <v>0.11885331824462952</v>
      </c>
      <c r="Z91" s="3">
        <f t="shared" si="5"/>
        <v>7.0473476664758949E-2</v>
      </c>
    </row>
    <row r="92" spans="20:26" x14ac:dyDescent="0.25">
      <c r="T92" s="3" t="s">
        <v>1423</v>
      </c>
      <c r="U92" s="3" t="s">
        <v>1548</v>
      </c>
      <c r="V92" s="3"/>
      <c r="W92" s="3">
        <v>25073291.899999999</v>
      </c>
      <c r="X92" s="3">
        <f t="shared" si="3"/>
        <v>0</v>
      </c>
      <c r="Y92" s="3">
        <f t="shared" si="4"/>
        <v>6.7618620200958268E-2</v>
      </c>
      <c r="Z92" s="3">
        <f t="shared" si="5"/>
        <v>6.7618620200958268E-2</v>
      </c>
    </row>
    <row r="93" spans="20:26" x14ac:dyDescent="0.25">
      <c r="T93" s="3" t="s">
        <v>1424</v>
      </c>
      <c r="U93" s="3" t="s">
        <v>1549</v>
      </c>
      <c r="V93" s="3"/>
      <c r="W93" s="3">
        <v>25067596.359999999</v>
      </c>
      <c r="X93" s="3">
        <f t="shared" si="3"/>
        <v>0</v>
      </c>
      <c r="Y93" s="3">
        <f t="shared" si="4"/>
        <v>6.7603260249116462E-2</v>
      </c>
      <c r="Z93" s="3">
        <f t="shared" si="5"/>
        <v>6.7603260249116462E-2</v>
      </c>
    </row>
    <row r="94" spans="20:26" x14ac:dyDescent="0.25">
      <c r="T94" s="3" t="s">
        <v>1425</v>
      </c>
      <c r="U94" s="3" t="s">
        <v>1550</v>
      </c>
      <c r="V94" s="3"/>
      <c r="W94" s="3">
        <v>24116608.75</v>
      </c>
      <c r="X94" s="3">
        <f t="shared" si="3"/>
        <v>0</v>
      </c>
      <c r="Y94" s="3">
        <f t="shared" si="4"/>
        <v>6.5038600200772081E-2</v>
      </c>
      <c r="Z94" s="3">
        <f t="shared" si="5"/>
        <v>6.5038600200772081E-2</v>
      </c>
    </row>
    <row r="95" spans="20:26" x14ac:dyDescent="0.25">
      <c r="T95" s="3" t="s">
        <v>175</v>
      </c>
      <c r="U95" s="3" t="s">
        <v>181</v>
      </c>
      <c r="V95" s="3">
        <v>84899148.599999994</v>
      </c>
      <c r="W95" s="3">
        <v>102382337.09999999</v>
      </c>
      <c r="X95" s="3">
        <f t="shared" si="3"/>
        <v>0.21117152600850411</v>
      </c>
      <c r="Y95" s="3">
        <f t="shared" si="4"/>
        <v>0.2761086336513866</v>
      </c>
      <c r="Z95" s="3">
        <f t="shared" si="5"/>
        <v>6.4937107642882491E-2</v>
      </c>
    </row>
    <row r="96" spans="20:26" x14ac:dyDescent="0.25">
      <c r="T96" s="3" t="s">
        <v>201</v>
      </c>
      <c r="U96" s="3" t="s">
        <v>202</v>
      </c>
      <c r="V96" s="3">
        <v>47829975.590000004</v>
      </c>
      <c r="W96" s="3">
        <v>68178745.640000001</v>
      </c>
      <c r="X96" s="3">
        <f t="shared" si="3"/>
        <v>0.11896855387652031</v>
      </c>
      <c r="Y96" s="3">
        <f t="shared" si="4"/>
        <v>0.18386706961318069</v>
      </c>
      <c r="Z96" s="3">
        <f t="shared" si="5"/>
        <v>6.4898515736660389E-2</v>
      </c>
    </row>
    <row r="97" spans="20:26" x14ac:dyDescent="0.25">
      <c r="T97" s="3" t="s">
        <v>159</v>
      </c>
      <c r="U97" s="3" t="s">
        <v>166</v>
      </c>
      <c r="V97" s="3">
        <v>100254747.2</v>
      </c>
      <c r="W97" s="3">
        <v>116423797</v>
      </c>
      <c r="X97" s="3">
        <f t="shared" si="3"/>
        <v>0.24936584529919312</v>
      </c>
      <c r="Y97" s="3">
        <f t="shared" si="4"/>
        <v>0.31397618402458216</v>
      </c>
      <c r="Z97" s="3">
        <f t="shared" si="5"/>
        <v>6.4610338725389044E-2</v>
      </c>
    </row>
    <row r="98" spans="20:26" x14ac:dyDescent="0.25">
      <c r="T98" s="3" t="s">
        <v>160</v>
      </c>
      <c r="U98" s="3" t="s">
        <v>167</v>
      </c>
      <c r="V98" s="3">
        <v>96005577.799999997</v>
      </c>
      <c r="W98" s="3">
        <v>111472532.09999999</v>
      </c>
      <c r="X98" s="3">
        <f t="shared" si="3"/>
        <v>0.23879679247283012</v>
      </c>
      <c r="Y98" s="3">
        <f t="shared" si="4"/>
        <v>0.30062342196514807</v>
      </c>
      <c r="Z98" s="3">
        <f t="shared" si="5"/>
        <v>6.1826629492317958E-2</v>
      </c>
    </row>
    <row r="99" spans="20:26" x14ac:dyDescent="0.25">
      <c r="T99" s="3" t="s">
        <v>1426</v>
      </c>
      <c r="U99" s="3" t="s">
        <v>1551</v>
      </c>
      <c r="V99" s="3"/>
      <c r="W99" s="3">
        <v>22765670.93</v>
      </c>
      <c r="X99" s="3">
        <f t="shared" si="3"/>
        <v>0</v>
      </c>
      <c r="Y99" s="3">
        <f t="shared" si="4"/>
        <v>6.1395339007546366E-2</v>
      </c>
      <c r="Z99" s="3">
        <f t="shared" si="5"/>
        <v>6.1395339007546366E-2</v>
      </c>
    </row>
    <row r="100" spans="20:26" x14ac:dyDescent="0.25">
      <c r="T100" s="3" t="s">
        <v>1427</v>
      </c>
      <c r="U100" s="3" t="s">
        <v>1552</v>
      </c>
      <c r="V100" s="3"/>
      <c r="W100" s="3">
        <v>21888389.800000001</v>
      </c>
      <c r="X100" s="3">
        <f t="shared" si="3"/>
        <v>0</v>
      </c>
      <c r="Y100" s="3">
        <f t="shared" si="4"/>
        <v>5.9029453435937899E-2</v>
      </c>
      <c r="Z100" s="3">
        <f t="shared" si="5"/>
        <v>5.9029453435937899E-2</v>
      </c>
    </row>
    <row r="101" spans="20:26" x14ac:dyDescent="0.25">
      <c r="T101" s="3" t="s">
        <v>205</v>
      </c>
      <c r="U101" s="3" t="s">
        <v>207</v>
      </c>
      <c r="V101" s="3">
        <v>45755322.630000003</v>
      </c>
      <c r="W101" s="3">
        <v>63952848.890000001</v>
      </c>
      <c r="X101" s="3">
        <f t="shared" si="3"/>
        <v>0.11380822378221757</v>
      </c>
      <c r="Y101" s="3">
        <f t="shared" si="4"/>
        <v>0.17247050834446614</v>
      </c>
      <c r="Z101" s="3">
        <f t="shared" si="5"/>
        <v>5.8662284562248576E-2</v>
      </c>
    </row>
    <row r="102" spans="20:26" x14ac:dyDescent="0.25">
      <c r="T102" s="3" t="s">
        <v>179</v>
      </c>
      <c r="U102" s="3" t="s">
        <v>185</v>
      </c>
      <c r="V102" s="3">
        <v>84704011.359999999</v>
      </c>
      <c r="W102" s="3">
        <v>97730345.810000002</v>
      </c>
      <c r="X102" s="3">
        <f t="shared" si="3"/>
        <v>0.21068615684483871</v>
      </c>
      <c r="Y102" s="3">
        <f t="shared" si="4"/>
        <v>0.26356296420075193</v>
      </c>
      <c r="Z102" s="3">
        <f t="shared" si="5"/>
        <v>5.2876807355913213E-2</v>
      </c>
    </row>
    <row r="103" spans="20:26" x14ac:dyDescent="0.25">
      <c r="T103" s="3" t="s">
        <v>1314</v>
      </c>
      <c r="U103" s="3" t="s">
        <v>1553</v>
      </c>
      <c r="V103" s="3"/>
      <c r="W103" s="3">
        <v>19235277.84</v>
      </c>
      <c r="X103" s="3">
        <f t="shared" si="3"/>
        <v>0</v>
      </c>
      <c r="Y103" s="3">
        <f t="shared" si="4"/>
        <v>5.1874438821607978E-2</v>
      </c>
      <c r="Z103" s="3">
        <f t="shared" si="5"/>
        <v>5.1874438821607978E-2</v>
      </c>
    </row>
    <row r="104" spans="20:26" x14ac:dyDescent="0.25">
      <c r="T104" s="3" t="s">
        <v>1428</v>
      </c>
      <c r="U104" s="3" t="s">
        <v>1554</v>
      </c>
      <c r="V104" s="3"/>
      <c r="W104" s="3">
        <v>17804768.390000001</v>
      </c>
      <c r="X104" s="3">
        <f t="shared" si="3"/>
        <v>0</v>
      </c>
      <c r="Y104" s="3">
        <f t="shared" si="4"/>
        <v>4.8016585789017886E-2</v>
      </c>
      <c r="Z104" s="3">
        <f t="shared" si="5"/>
        <v>4.8016585789017886E-2</v>
      </c>
    </row>
    <row r="105" spans="20:26" x14ac:dyDescent="0.25">
      <c r="T105" s="3" t="s">
        <v>1429</v>
      </c>
      <c r="U105" s="3" t="s">
        <v>1555</v>
      </c>
      <c r="V105" s="3"/>
      <c r="W105" s="3">
        <v>16830600.75</v>
      </c>
      <c r="X105" s="3">
        <f t="shared" si="3"/>
        <v>0</v>
      </c>
      <c r="Y105" s="3">
        <f t="shared" si="4"/>
        <v>4.5389412942151937E-2</v>
      </c>
      <c r="Z105" s="3">
        <f t="shared" si="5"/>
        <v>4.5389412942151937E-2</v>
      </c>
    </row>
    <row r="106" spans="20:26" x14ac:dyDescent="0.25">
      <c r="T106" s="3" t="s">
        <v>217</v>
      </c>
      <c r="U106" s="3" t="s">
        <v>219</v>
      </c>
      <c r="V106" s="3">
        <v>43837561.310000002</v>
      </c>
      <c r="W106" s="3">
        <v>56731827.130000003</v>
      </c>
      <c r="X106" s="3">
        <f t="shared" si="3"/>
        <v>0.10903813372663268</v>
      </c>
      <c r="Y106" s="3">
        <f t="shared" si="4"/>
        <v>0.15299657848317438</v>
      </c>
      <c r="Z106" s="3">
        <f t="shared" si="5"/>
        <v>4.3958444756541704E-2</v>
      </c>
    </row>
    <row r="107" spans="20:26" x14ac:dyDescent="0.25">
      <c r="T107" s="3" t="s">
        <v>349</v>
      </c>
      <c r="U107" s="3" t="s">
        <v>359</v>
      </c>
      <c r="V107" s="3">
        <v>76571.63</v>
      </c>
      <c r="W107" s="3">
        <v>16231025.73</v>
      </c>
      <c r="X107" s="3">
        <f t="shared" si="3"/>
        <v>1.904583052091827E-4</v>
      </c>
      <c r="Y107" s="3">
        <f t="shared" si="4"/>
        <v>4.377245591389025E-2</v>
      </c>
      <c r="Z107" s="3">
        <f t="shared" si="5"/>
        <v>4.3581997608681068E-2</v>
      </c>
    </row>
    <row r="108" spans="20:26" x14ac:dyDescent="0.25">
      <c r="T108" s="3" t="s">
        <v>290</v>
      </c>
      <c r="U108" s="3" t="s">
        <v>291</v>
      </c>
      <c r="V108" s="3">
        <v>13990405.060000001</v>
      </c>
      <c r="W108" s="3">
        <v>27936546.800000001</v>
      </c>
      <c r="X108" s="3">
        <f t="shared" si="3"/>
        <v>3.47986432692836E-2</v>
      </c>
      <c r="Y108" s="3">
        <f t="shared" si="4"/>
        <v>7.5340356397138902E-2</v>
      </c>
      <c r="Z108" s="3">
        <f t="shared" si="5"/>
        <v>4.0541713127855303E-2</v>
      </c>
    </row>
    <row r="109" spans="20:26" x14ac:dyDescent="0.25">
      <c r="T109" s="3" t="s">
        <v>1430</v>
      </c>
      <c r="U109" s="3" t="s">
        <v>1556</v>
      </c>
      <c r="V109" s="3"/>
      <c r="W109" s="3">
        <v>14412378.26</v>
      </c>
      <c r="X109" s="3">
        <f t="shared" si="3"/>
        <v>0</v>
      </c>
      <c r="Y109" s="3">
        <f t="shared" si="4"/>
        <v>3.8867857305784716E-2</v>
      </c>
      <c r="Z109" s="3">
        <f t="shared" si="5"/>
        <v>3.8867857305784716E-2</v>
      </c>
    </row>
    <row r="110" spans="20:26" x14ac:dyDescent="0.25">
      <c r="T110" s="3" t="s">
        <v>1431</v>
      </c>
      <c r="U110" s="3" t="s">
        <v>1557</v>
      </c>
      <c r="V110" s="3"/>
      <c r="W110" s="3">
        <v>14295748.779999999</v>
      </c>
      <c r="X110" s="3">
        <f t="shared" si="3"/>
        <v>0</v>
      </c>
      <c r="Y110" s="3">
        <f t="shared" si="4"/>
        <v>3.855332642791641E-2</v>
      </c>
      <c r="Z110" s="3">
        <f t="shared" si="5"/>
        <v>3.855332642791641E-2</v>
      </c>
    </row>
    <row r="111" spans="20:26" x14ac:dyDescent="0.25">
      <c r="T111" s="3" t="s">
        <v>357</v>
      </c>
      <c r="U111" s="3" t="s">
        <v>367</v>
      </c>
      <c r="V111" s="3">
        <v>341056.99</v>
      </c>
      <c r="W111" s="3">
        <v>14563312.199999999</v>
      </c>
      <c r="X111" s="3">
        <f t="shared" si="3"/>
        <v>8.4831857824033737E-4</v>
      </c>
      <c r="Y111" s="3">
        <f t="shared" si="4"/>
        <v>3.9274901773858499E-2</v>
      </c>
      <c r="Z111" s="3">
        <f t="shared" si="5"/>
        <v>3.8426583195618161E-2</v>
      </c>
    </row>
    <row r="112" spans="20:26" x14ac:dyDescent="0.25">
      <c r="T112" s="3" t="s">
        <v>177</v>
      </c>
      <c r="U112" s="3" t="s">
        <v>183</v>
      </c>
      <c r="V112" s="3">
        <v>93716500.939999998</v>
      </c>
      <c r="W112" s="3">
        <v>100065715.7</v>
      </c>
      <c r="X112" s="3">
        <f t="shared" si="3"/>
        <v>0.23310312107979386</v>
      </c>
      <c r="Y112" s="3">
        <f t="shared" si="4"/>
        <v>0.26986107975137352</v>
      </c>
      <c r="Z112" s="3">
        <f t="shared" si="5"/>
        <v>3.675795867157966E-2</v>
      </c>
    </row>
    <row r="113" spans="20:26" x14ac:dyDescent="0.25">
      <c r="T113" s="3" t="s">
        <v>1432</v>
      </c>
      <c r="U113" s="3" t="s">
        <v>1558</v>
      </c>
      <c r="V113" s="3"/>
      <c r="W113" s="3">
        <v>13521358.23</v>
      </c>
      <c r="X113" s="3">
        <f t="shared" si="3"/>
        <v>0</v>
      </c>
      <c r="Y113" s="3">
        <f t="shared" si="4"/>
        <v>3.6464920139005416E-2</v>
      </c>
      <c r="Z113" s="3">
        <f t="shared" si="5"/>
        <v>3.6464920139005416E-2</v>
      </c>
    </row>
    <row r="114" spans="20:26" x14ac:dyDescent="0.25">
      <c r="T114" s="3" t="s">
        <v>1433</v>
      </c>
      <c r="U114" s="3" t="s">
        <v>1559</v>
      </c>
      <c r="V114" s="3"/>
      <c r="W114" s="3">
        <v>13254350.859999999</v>
      </c>
      <c r="X114" s="3">
        <f t="shared" si="3"/>
        <v>0</v>
      </c>
      <c r="Y114" s="3">
        <f t="shared" si="4"/>
        <v>3.5744844370139708E-2</v>
      </c>
      <c r="Z114" s="3">
        <f t="shared" si="5"/>
        <v>3.5744844370139708E-2</v>
      </c>
    </row>
    <row r="115" spans="20:26" x14ac:dyDescent="0.25">
      <c r="T115" s="3" t="s">
        <v>1434</v>
      </c>
      <c r="U115" s="3" t="s">
        <v>1560</v>
      </c>
      <c r="V115" s="3"/>
      <c r="W115" s="3">
        <v>13124538.73</v>
      </c>
      <c r="X115" s="3">
        <f t="shared" si="3"/>
        <v>0</v>
      </c>
      <c r="Y115" s="3">
        <f t="shared" si="4"/>
        <v>3.5394762013544669E-2</v>
      </c>
      <c r="Z115" s="3">
        <f t="shared" si="5"/>
        <v>3.5394762013544669E-2</v>
      </c>
    </row>
    <row r="116" spans="20:26" x14ac:dyDescent="0.25">
      <c r="T116" s="3" t="s">
        <v>1435</v>
      </c>
      <c r="U116" s="3" t="s">
        <v>1561</v>
      </c>
      <c r="V116" s="3"/>
      <c r="W116" s="3">
        <v>12936886.289999999</v>
      </c>
      <c r="X116" s="3">
        <f t="shared" si="3"/>
        <v>0</v>
      </c>
      <c r="Y116" s="3">
        <f t="shared" si="4"/>
        <v>3.4888693679129307E-2</v>
      </c>
      <c r="Z116" s="3">
        <f t="shared" si="5"/>
        <v>3.4888693679129307E-2</v>
      </c>
    </row>
    <row r="117" spans="20:26" x14ac:dyDescent="0.25">
      <c r="T117" s="3" t="s">
        <v>1436</v>
      </c>
      <c r="U117" s="3" t="s">
        <v>1562</v>
      </c>
      <c r="V117" s="3"/>
      <c r="W117" s="3">
        <v>12048141.789999999</v>
      </c>
      <c r="X117" s="3">
        <f t="shared" si="3"/>
        <v>0</v>
      </c>
      <c r="Y117" s="3">
        <f t="shared" si="4"/>
        <v>3.2491893249378373E-2</v>
      </c>
      <c r="Z117" s="3">
        <f t="shared" si="5"/>
        <v>3.2491893249378373E-2</v>
      </c>
    </row>
    <row r="118" spans="20:26" x14ac:dyDescent="0.25">
      <c r="T118" s="3" t="s">
        <v>1360</v>
      </c>
      <c r="U118" s="3" t="s">
        <v>1529</v>
      </c>
      <c r="V118" s="3">
        <v>65048864.590000004</v>
      </c>
      <c r="W118" s="3">
        <v>71993954.760000005</v>
      </c>
      <c r="X118" s="3">
        <f t="shared" si="3"/>
        <v>0.16179747650132323</v>
      </c>
      <c r="Y118" s="3">
        <f t="shared" si="4"/>
        <v>0.19415607264881768</v>
      </c>
      <c r="Z118" s="3">
        <f t="shared" si="5"/>
        <v>3.2358596147494451E-2</v>
      </c>
    </row>
    <row r="119" spans="20:26" x14ac:dyDescent="0.25">
      <c r="T119" s="3" t="s">
        <v>1373</v>
      </c>
      <c r="U119" s="3" t="s">
        <v>1564</v>
      </c>
      <c r="V119" s="3"/>
      <c r="W119" s="3">
        <v>11960083.07</v>
      </c>
      <c r="X119" s="3">
        <f t="shared" si="3"/>
        <v>0</v>
      </c>
      <c r="Y119" s="3">
        <f t="shared" si="4"/>
        <v>3.2254413098514637E-2</v>
      </c>
      <c r="Z119" s="3">
        <f t="shared" si="5"/>
        <v>3.2254413098514637E-2</v>
      </c>
    </row>
    <row r="120" spans="20:26" x14ac:dyDescent="0.25">
      <c r="T120" s="3" t="s">
        <v>222</v>
      </c>
      <c r="U120" s="3" t="s">
        <v>223</v>
      </c>
      <c r="V120" s="3">
        <v>47790003.409999996</v>
      </c>
      <c r="W120" s="3">
        <v>55643275.350000001</v>
      </c>
      <c r="X120" s="3">
        <f t="shared" si="3"/>
        <v>0.11886913019103369</v>
      </c>
      <c r="Y120" s="3">
        <f t="shared" si="4"/>
        <v>0.15006093007791263</v>
      </c>
      <c r="Z120" s="3">
        <f t="shared" si="5"/>
        <v>3.1191799886878938E-2</v>
      </c>
    </row>
    <row r="121" spans="20:26" x14ac:dyDescent="0.25">
      <c r="T121" s="3" t="s">
        <v>156</v>
      </c>
      <c r="U121" s="3" t="s">
        <v>162</v>
      </c>
      <c r="V121" s="3">
        <v>130749115.2</v>
      </c>
      <c r="W121" s="3">
        <v>131961555.8</v>
      </c>
      <c r="X121" s="3">
        <f t="shared" si="3"/>
        <v>0.32521515982606336</v>
      </c>
      <c r="Y121" s="3">
        <f t="shared" si="4"/>
        <v>0.35587901095538882</v>
      </c>
      <c r="Z121" s="3">
        <f t="shared" si="5"/>
        <v>3.0663851129325459E-2</v>
      </c>
    </row>
    <row r="122" spans="20:26" x14ac:dyDescent="0.25">
      <c r="T122" s="3" t="s">
        <v>1323</v>
      </c>
      <c r="U122" s="3" t="s">
        <v>1565</v>
      </c>
      <c r="V122" s="3"/>
      <c r="W122" s="3">
        <v>11340522.380000001</v>
      </c>
      <c r="X122" s="3">
        <f t="shared" si="3"/>
        <v>0</v>
      </c>
      <c r="Y122" s="3">
        <f t="shared" si="4"/>
        <v>3.058355794492575E-2</v>
      </c>
      <c r="Z122" s="3">
        <f t="shared" si="5"/>
        <v>3.058355794492575E-2</v>
      </c>
    </row>
    <row r="123" spans="20:26" x14ac:dyDescent="0.25">
      <c r="T123" s="3" t="s">
        <v>1438</v>
      </c>
      <c r="U123" s="3" t="s">
        <v>1566</v>
      </c>
      <c r="V123" s="3"/>
      <c r="W123" s="3">
        <v>10731531.689999999</v>
      </c>
      <c r="X123" s="3">
        <f t="shared" si="3"/>
        <v>0</v>
      </c>
      <c r="Y123" s="3">
        <f t="shared" si="4"/>
        <v>2.8941208374822846E-2</v>
      </c>
      <c r="Z123" s="3">
        <f t="shared" si="5"/>
        <v>2.8941208374822846E-2</v>
      </c>
    </row>
    <row r="124" spans="20:26" x14ac:dyDescent="0.25">
      <c r="T124" s="3" t="s">
        <v>1439</v>
      </c>
      <c r="U124" s="3" t="s">
        <v>1567</v>
      </c>
      <c r="V124" s="3"/>
      <c r="W124" s="3">
        <v>10718885.51</v>
      </c>
      <c r="X124" s="3">
        <f t="shared" si="3"/>
        <v>0</v>
      </c>
      <c r="Y124" s="3">
        <f t="shared" si="4"/>
        <v>2.8907103669073658E-2</v>
      </c>
      <c r="Z124" s="3">
        <f t="shared" si="5"/>
        <v>2.8907103669073658E-2</v>
      </c>
    </row>
    <row r="125" spans="20:26" x14ac:dyDescent="0.25">
      <c r="T125" s="3" t="s">
        <v>1358</v>
      </c>
      <c r="U125" s="3" t="s">
        <v>1568</v>
      </c>
      <c r="V125" s="3"/>
      <c r="W125" s="3">
        <v>9946500.2200000007</v>
      </c>
      <c r="X125" s="3">
        <f t="shared" si="3"/>
        <v>0</v>
      </c>
      <c r="Y125" s="3">
        <f t="shared" si="4"/>
        <v>2.6824105242635808E-2</v>
      </c>
      <c r="Z125" s="3">
        <f t="shared" si="5"/>
        <v>2.6824105242635808E-2</v>
      </c>
    </row>
    <row r="126" spans="20:26" x14ac:dyDescent="0.25">
      <c r="T126" s="3" t="s">
        <v>1440</v>
      </c>
      <c r="U126" s="3" t="s">
        <v>1569</v>
      </c>
      <c r="V126" s="3"/>
      <c r="W126" s="3">
        <v>9742060.1600000001</v>
      </c>
      <c r="X126" s="3">
        <f t="shared" si="3"/>
        <v>0</v>
      </c>
      <c r="Y126" s="3">
        <f t="shared" si="4"/>
        <v>2.6272763407421854E-2</v>
      </c>
      <c r="Z126" s="3">
        <f t="shared" si="5"/>
        <v>2.6272763407421854E-2</v>
      </c>
    </row>
    <row r="127" spans="20:26" x14ac:dyDescent="0.25">
      <c r="T127" s="3" t="s">
        <v>326</v>
      </c>
      <c r="U127" s="3" t="s">
        <v>332</v>
      </c>
      <c r="V127" s="3">
        <v>10787142.789999999</v>
      </c>
      <c r="W127" s="3">
        <v>18737692.949999999</v>
      </c>
      <c r="X127" s="3">
        <f t="shared" si="3"/>
        <v>2.6831098330189058E-2</v>
      </c>
      <c r="Y127" s="3">
        <f t="shared" si="4"/>
        <v>5.0532532707770347E-2</v>
      </c>
      <c r="Z127" s="3">
        <f t="shared" si="5"/>
        <v>2.370143437758129E-2</v>
      </c>
    </row>
    <row r="128" spans="20:26" x14ac:dyDescent="0.25">
      <c r="T128" s="3" t="s">
        <v>1441</v>
      </c>
      <c r="U128" s="3" t="s">
        <v>1571</v>
      </c>
      <c r="V128" s="3"/>
      <c r="W128" s="3">
        <v>8308639.8700000001</v>
      </c>
      <c r="X128" s="3">
        <f t="shared" si="3"/>
        <v>0</v>
      </c>
      <c r="Y128" s="3">
        <f t="shared" si="4"/>
        <v>2.2407060309303433E-2</v>
      </c>
      <c r="Z128" s="3">
        <f t="shared" si="5"/>
        <v>2.2407060309303433E-2</v>
      </c>
    </row>
    <row r="129" spans="20:26" x14ac:dyDescent="0.25">
      <c r="T129" s="3" t="s">
        <v>298</v>
      </c>
      <c r="U129" s="3" t="s">
        <v>300</v>
      </c>
      <c r="V129" s="3">
        <v>16997410.449999999</v>
      </c>
      <c r="W129" s="3">
        <v>23819755.050000001</v>
      </c>
      <c r="X129" s="3">
        <f t="shared" si="3"/>
        <v>4.227803413943064E-2</v>
      </c>
      <c r="Y129" s="3">
        <f t="shared" si="4"/>
        <v>6.4238033698551078E-2</v>
      </c>
      <c r="Z129" s="3">
        <f t="shared" si="5"/>
        <v>2.1959999559120438E-2</v>
      </c>
    </row>
    <row r="130" spans="20:26" x14ac:dyDescent="0.25">
      <c r="T130" s="3" t="s">
        <v>1442</v>
      </c>
      <c r="U130" s="3" t="s">
        <v>1572</v>
      </c>
      <c r="V130" s="3"/>
      <c r="W130" s="3">
        <v>7940905.4900000002</v>
      </c>
      <c r="X130" s="3">
        <f t="shared" ref="X130:X193" si="6">V130/(R$2*12)</f>
        <v>0</v>
      </c>
      <c r="Y130" s="3">
        <f t="shared" ref="Y130:Y193" si="7">W130/(R$3*12)</f>
        <v>2.1415340056724439E-2</v>
      </c>
      <c r="Z130" s="3">
        <f t="shared" ref="Z130:Z193" si="8">Y130-X130</f>
        <v>2.1415340056724439E-2</v>
      </c>
    </row>
    <row r="131" spans="20:26" x14ac:dyDescent="0.25">
      <c r="T131" s="3" t="s">
        <v>1443</v>
      </c>
      <c r="U131" s="3" t="s">
        <v>1573</v>
      </c>
      <c r="V131" s="3"/>
      <c r="W131" s="3">
        <v>7755186.1900000004</v>
      </c>
      <c r="X131" s="3">
        <f t="shared" si="6"/>
        <v>0</v>
      </c>
      <c r="Y131" s="3">
        <f t="shared" si="7"/>
        <v>2.0914485088785913E-2</v>
      </c>
      <c r="Z131" s="3">
        <f t="shared" si="8"/>
        <v>2.0914485088785913E-2</v>
      </c>
    </row>
    <row r="132" spans="20:26" x14ac:dyDescent="0.25">
      <c r="T132" s="3" t="s">
        <v>1319</v>
      </c>
      <c r="U132" s="3" t="s">
        <v>1574</v>
      </c>
      <c r="V132" s="3"/>
      <c r="W132" s="3">
        <v>7706641.6799999997</v>
      </c>
      <c r="X132" s="3">
        <f t="shared" si="6"/>
        <v>0</v>
      </c>
      <c r="Y132" s="3">
        <f t="shared" si="7"/>
        <v>2.0783568382769672E-2</v>
      </c>
      <c r="Z132" s="3">
        <f t="shared" si="8"/>
        <v>2.0783568382769672E-2</v>
      </c>
    </row>
    <row r="133" spans="20:26" x14ac:dyDescent="0.25">
      <c r="T133" s="3" t="s">
        <v>355</v>
      </c>
      <c r="U133" s="3" t="s">
        <v>365</v>
      </c>
      <c r="V133" s="3">
        <v>7813655.0800000001</v>
      </c>
      <c r="W133" s="3">
        <v>14826932.529999999</v>
      </c>
      <c r="X133" s="3">
        <f t="shared" si="6"/>
        <v>1.9435076725229969E-2</v>
      </c>
      <c r="Y133" s="3">
        <f t="shared" si="7"/>
        <v>3.9985843242677808E-2</v>
      </c>
      <c r="Z133" s="3">
        <f t="shared" si="8"/>
        <v>2.055076651744784E-2</v>
      </c>
    </row>
    <row r="134" spans="20:26" x14ac:dyDescent="0.25">
      <c r="T134" s="3" t="s">
        <v>278</v>
      </c>
      <c r="U134" s="3" t="s">
        <v>279</v>
      </c>
      <c r="V134" s="3">
        <v>25947985.260000002</v>
      </c>
      <c r="W134" s="3">
        <v>31423100.870000001</v>
      </c>
      <c r="X134" s="3">
        <f t="shared" si="6"/>
        <v>6.4540996400526587E-2</v>
      </c>
      <c r="Y134" s="3">
        <f t="shared" si="7"/>
        <v>8.4743029823895255E-2</v>
      </c>
      <c r="Z134" s="3">
        <f t="shared" si="8"/>
        <v>2.0202033423368668E-2</v>
      </c>
    </row>
    <row r="135" spans="20:26" x14ac:dyDescent="0.25">
      <c r="T135" s="3" t="s">
        <v>1444</v>
      </c>
      <c r="U135" s="3" t="s">
        <v>1575</v>
      </c>
      <c r="V135" s="3"/>
      <c r="W135" s="3">
        <v>6898741.6100000003</v>
      </c>
      <c r="X135" s="3">
        <f t="shared" si="6"/>
        <v>0</v>
      </c>
      <c r="Y135" s="3">
        <f t="shared" si="7"/>
        <v>1.8604792328491073E-2</v>
      </c>
      <c r="Z135" s="3">
        <f t="shared" si="8"/>
        <v>1.8604792328491073E-2</v>
      </c>
    </row>
    <row r="136" spans="20:26" x14ac:dyDescent="0.25">
      <c r="T136" s="3">
        <v>90739</v>
      </c>
      <c r="U136" s="3" t="s">
        <v>468</v>
      </c>
      <c r="V136" s="3">
        <v>91688.24</v>
      </c>
      <c r="W136" s="3">
        <v>6630528.6900000004</v>
      </c>
      <c r="X136" s="3">
        <f t="shared" si="6"/>
        <v>2.2805818288069345E-4</v>
      </c>
      <c r="Y136" s="3">
        <f t="shared" si="7"/>
        <v>1.7881465385909994E-2</v>
      </c>
      <c r="Z136" s="3">
        <f t="shared" si="8"/>
        <v>1.7653407203029301E-2</v>
      </c>
    </row>
    <row r="137" spans="20:26" x14ac:dyDescent="0.25">
      <c r="T137" s="3" t="s">
        <v>463</v>
      </c>
      <c r="U137" s="3" t="s">
        <v>466</v>
      </c>
      <c r="V137" s="3">
        <v>372816.78</v>
      </c>
      <c r="W137" s="3">
        <v>6881525.2000000002</v>
      </c>
      <c r="X137" s="3">
        <f t="shared" si="6"/>
        <v>9.2731540483524677E-4</v>
      </c>
      <c r="Y137" s="3">
        <f t="shared" si="7"/>
        <v>1.855836245029012E-2</v>
      </c>
      <c r="Z137" s="3">
        <f t="shared" si="8"/>
        <v>1.7631047045454873E-2</v>
      </c>
    </row>
    <row r="138" spans="20:26" x14ac:dyDescent="0.25">
      <c r="T138" s="3" t="s">
        <v>1445</v>
      </c>
      <c r="U138" s="3" t="s">
        <v>1576</v>
      </c>
      <c r="V138" s="3"/>
      <c r="W138" s="3">
        <v>6417223.04</v>
      </c>
      <c r="X138" s="3">
        <f t="shared" si="6"/>
        <v>0</v>
      </c>
      <c r="Y138" s="3">
        <f t="shared" si="7"/>
        <v>1.7306214485805067E-2</v>
      </c>
      <c r="Z138" s="3">
        <f t="shared" si="8"/>
        <v>1.7306214485805067E-2</v>
      </c>
    </row>
    <row r="139" spans="20:26" x14ac:dyDescent="0.25">
      <c r="T139" s="3" t="s">
        <v>1446</v>
      </c>
      <c r="U139" s="3" t="s">
        <v>1577</v>
      </c>
      <c r="V139" s="3"/>
      <c r="W139" s="3">
        <v>6285301.0599999996</v>
      </c>
      <c r="X139" s="3">
        <f t="shared" si="6"/>
        <v>0</v>
      </c>
      <c r="Y139" s="3">
        <f t="shared" si="7"/>
        <v>1.6950442204392811E-2</v>
      </c>
      <c r="Z139" s="3">
        <f t="shared" si="8"/>
        <v>1.6950442204392811E-2</v>
      </c>
    </row>
    <row r="140" spans="20:26" x14ac:dyDescent="0.25">
      <c r="T140" s="3">
        <v>90682</v>
      </c>
      <c r="U140" s="3" t="s">
        <v>306</v>
      </c>
      <c r="V140" s="3">
        <v>17105301.210000001</v>
      </c>
      <c r="W140" s="3">
        <v>22034217.93</v>
      </c>
      <c r="X140" s="3">
        <f t="shared" si="6"/>
        <v>4.2546393207891518E-2</v>
      </c>
      <c r="Y140" s="3">
        <f t="shared" si="7"/>
        <v>5.9422728358768676E-2</v>
      </c>
      <c r="Z140" s="3">
        <f t="shared" si="8"/>
        <v>1.6876335150877157E-2</v>
      </c>
    </row>
    <row r="141" spans="20:26" x14ac:dyDescent="0.25">
      <c r="T141" s="3" t="s">
        <v>259</v>
      </c>
      <c r="U141" s="3" t="s">
        <v>265</v>
      </c>
      <c r="V141" s="3">
        <v>35737968.770000003</v>
      </c>
      <c r="W141" s="3">
        <v>39031430.100000001</v>
      </c>
      <c r="X141" s="3">
        <f t="shared" si="6"/>
        <v>8.889183844660091E-2</v>
      </c>
      <c r="Y141" s="3">
        <f t="shared" si="7"/>
        <v>0.10526146540144378</v>
      </c>
      <c r="Z141" s="3">
        <f t="shared" si="8"/>
        <v>1.636962695484287E-2</v>
      </c>
    </row>
    <row r="142" spans="20:26" x14ac:dyDescent="0.25">
      <c r="T142" s="3" t="s">
        <v>237</v>
      </c>
      <c r="U142" s="3" t="s">
        <v>240</v>
      </c>
      <c r="V142" s="3">
        <v>49657593.990000002</v>
      </c>
      <c r="W142" s="3">
        <v>51773256.649999999</v>
      </c>
      <c r="X142" s="3">
        <f t="shared" si="6"/>
        <v>0.12351442945776518</v>
      </c>
      <c r="Y142" s="3">
        <f t="shared" si="7"/>
        <v>0.13962411445395756</v>
      </c>
      <c r="Z142" s="3">
        <f t="shared" si="8"/>
        <v>1.6109684996192378E-2</v>
      </c>
    </row>
    <row r="143" spans="20:26" x14ac:dyDescent="0.25">
      <c r="T143" s="3" t="s">
        <v>309</v>
      </c>
      <c r="U143" s="3" t="s">
        <v>315</v>
      </c>
      <c r="V143" s="3">
        <v>17107436.550000001</v>
      </c>
      <c r="W143" s="3">
        <v>21749113.359999999</v>
      </c>
      <c r="X143" s="3">
        <f t="shared" si="6"/>
        <v>4.255170448619975E-2</v>
      </c>
      <c r="Y143" s="3">
        <f t="shared" si="7"/>
        <v>5.8653847363274517E-2</v>
      </c>
      <c r="Z143" s="3">
        <f t="shared" si="8"/>
        <v>1.6102142877074767E-2</v>
      </c>
    </row>
    <row r="144" spans="20:26" x14ac:dyDescent="0.25">
      <c r="T144" s="3" t="s">
        <v>1447</v>
      </c>
      <c r="U144" s="3" t="s">
        <v>1578</v>
      </c>
      <c r="V144" s="3"/>
      <c r="W144" s="3">
        <v>5805132.7999999998</v>
      </c>
      <c r="X144" s="3">
        <f t="shared" si="6"/>
        <v>0</v>
      </c>
      <c r="Y144" s="3">
        <f t="shared" si="7"/>
        <v>1.5655505929770851E-2</v>
      </c>
      <c r="Z144" s="3">
        <f t="shared" si="8"/>
        <v>1.5655505929770851E-2</v>
      </c>
    </row>
    <row r="145" spans="20:26" x14ac:dyDescent="0.25">
      <c r="T145" s="3" t="s">
        <v>293</v>
      </c>
      <c r="U145" s="3" t="s">
        <v>294</v>
      </c>
      <c r="V145" s="3">
        <v>23307502.559999999</v>
      </c>
      <c r="W145" s="3">
        <v>27094729.050000001</v>
      </c>
      <c r="X145" s="3">
        <f t="shared" si="6"/>
        <v>5.7973265506249337E-2</v>
      </c>
      <c r="Y145" s="3">
        <f t="shared" si="7"/>
        <v>7.3070109835869659E-2</v>
      </c>
      <c r="Z145" s="3">
        <f t="shared" si="8"/>
        <v>1.5096844329620322E-2</v>
      </c>
    </row>
    <row r="146" spans="20:26" x14ac:dyDescent="0.25">
      <c r="T146" s="3" t="s">
        <v>1448</v>
      </c>
      <c r="U146" s="3" t="s">
        <v>1579</v>
      </c>
      <c r="V146" s="3"/>
      <c r="W146" s="3">
        <v>5444632.5599999996</v>
      </c>
      <c r="X146" s="3">
        <f t="shared" si="6"/>
        <v>0</v>
      </c>
      <c r="Y146" s="3">
        <f t="shared" si="7"/>
        <v>1.4683294984828503E-2</v>
      </c>
      <c r="Z146" s="3">
        <f t="shared" si="8"/>
        <v>1.4683294984828503E-2</v>
      </c>
    </row>
    <row r="147" spans="20:26" x14ac:dyDescent="0.25">
      <c r="T147" s="3" t="s">
        <v>225</v>
      </c>
      <c r="U147" s="3" t="s">
        <v>229</v>
      </c>
      <c r="V147" s="3">
        <v>53437872.229999997</v>
      </c>
      <c r="W147" s="3">
        <v>54628099.859999999</v>
      </c>
      <c r="X147" s="3">
        <f t="shared" si="6"/>
        <v>0.13291719895358955</v>
      </c>
      <c r="Y147" s="3">
        <f t="shared" si="7"/>
        <v>0.1473231656802656</v>
      </c>
      <c r="Z147" s="3">
        <f t="shared" si="8"/>
        <v>1.4405966726676045E-2</v>
      </c>
    </row>
    <row r="148" spans="20:26" x14ac:dyDescent="0.25">
      <c r="T148" s="3" t="s">
        <v>1449</v>
      </c>
      <c r="U148" s="3" t="s">
        <v>1580</v>
      </c>
      <c r="V148" s="3"/>
      <c r="W148" s="3">
        <v>5296339</v>
      </c>
      <c r="X148" s="3">
        <f t="shared" si="6"/>
        <v>0</v>
      </c>
      <c r="Y148" s="3">
        <f t="shared" si="7"/>
        <v>1.4283371195328489E-2</v>
      </c>
      <c r="Z148" s="3">
        <f t="shared" si="8"/>
        <v>1.4283371195328489E-2</v>
      </c>
    </row>
    <row r="149" spans="20:26" x14ac:dyDescent="0.25">
      <c r="T149" s="3" t="s">
        <v>1450</v>
      </c>
      <c r="U149" s="3" t="s">
        <v>1581</v>
      </c>
      <c r="V149" s="3"/>
      <c r="W149" s="3">
        <v>4937131.55</v>
      </c>
      <c r="X149" s="3">
        <f t="shared" si="6"/>
        <v>0</v>
      </c>
      <c r="Y149" s="3">
        <f t="shared" si="7"/>
        <v>1.3314646696296723E-2</v>
      </c>
      <c r="Z149" s="3">
        <f t="shared" si="8"/>
        <v>1.3314646696296723E-2</v>
      </c>
    </row>
    <row r="150" spans="20:26" x14ac:dyDescent="0.25">
      <c r="T150" s="3" t="s">
        <v>1345</v>
      </c>
      <c r="U150" s="3" t="s">
        <v>1582</v>
      </c>
      <c r="V150" s="3"/>
      <c r="W150" s="3">
        <v>4915196.03</v>
      </c>
      <c r="X150" s="3">
        <f t="shared" si="6"/>
        <v>0</v>
      </c>
      <c r="Y150" s="3">
        <f t="shared" si="7"/>
        <v>1.3255490140320502E-2</v>
      </c>
      <c r="Z150" s="3">
        <f t="shared" si="8"/>
        <v>1.3255490140320502E-2</v>
      </c>
    </row>
    <row r="151" spans="20:26" x14ac:dyDescent="0.25">
      <c r="T151" s="3" t="s">
        <v>304</v>
      </c>
      <c r="U151" s="3" t="s">
        <v>305</v>
      </c>
      <c r="V151" s="3">
        <v>19431787.760000002</v>
      </c>
      <c r="W151" s="3">
        <v>22539700.710000001</v>
      </c>
      <c r="X151" s="3">
        <f t="shared" si="6"/>
        <v>4.8333114548484088E-2</v>
      </c>
      <c r="Y151" s="3">
        <f t="shared" si="7"/>
        <v>6.0785933806831303E-2</v>
      </c>
      <c r="Z151" s="3">
        <f t="shared" si="8"/>
        <v>1.2452819258347216E-2</v>
      </c>
    </row>
    <row r="152" spans="20:26" x14ac:dyDescent="0.25">
      <c r="T152" s="3" t="s">
        <v>1437</v>
      </c>
      <c r="U152" s="3" t="s">
        <v>1563</v>
      </c>
      <c r="V152" s="3">
        <v>8213622.0700000003</v>
      </c>
      <c r="W152" s="3">
        <v>11992514.59</v>
      </c>
      <c r="X152" s="3">
        <f t="shared" si="6"/>
        <v>2.042992344659424E-2</v>
      </c>
      <c r="Y152" s="3">
        <f t="shared" si="7"/>
        <v>3.2341875671924064E-2</v>
      </c>
      <c r="Z152" s="3">
        <f t="shared" si="8"/>
        <v>1.1911952225329824E-2</v>
      </c>
    </row>
    <row r="153" spans="20:26" x14ac:dyDescent="0.25">
      <c r="T153" s="3" t="s">
        <v>312</v>
      </c>
      <c r="U153" s="3" t="s">
        <v>318</v>
      </c>
      <c r="V153" s="3">
        <v>16462837.050000001</v>
      </c>
      <c r="W153" s="3">
        <v>19592905.300000001</v>
      </c>
      <c r="X153" s="3">
        <f t="shared" si="6"/>
        <v>4.0948377923755067E-2</v>
      </c>
      <c r="Y153" s="3">
        <f t="shared" si="7"/>
        <v>5.2838902342697266E-2</v>
      </c>
      <c r="Z153" s="3">
        <f t="shared" si="8"/>
        <v>1.18905244189422E-2</v>
      </c>
    </row>
    <row r="154" spans="20:26" x14ac:dyDescent="0.25">
      <c r="T154" s="3" t="s">
        <v>388</v>
      </c>
      <c r="U154" s="3" t="s">
        <v>389</v>
      </c>
      <c r="V154" s="3">
        <v>9859730.2200000007</v>
      </c>
      <c r="W154" s="3">
        <v>13123767.68</v>
      </c>
      <c r="X154" s="3">
        <f t="shared" si="6"/>
        <v>2.4524324577143809E-2</v>
      </c>
      <c r="Y154" s="3">
        <f t="shared" si="7"/>
        <v>3.5392682616179776E-2</v>
      </c>
      <c r="Z154" s="3">
        <f t="shared" si="8"/>
        <v>1.0868358039035967E-2</v>
      </c>
    </row>
    <row r="155" spans="20:26" x14ac:dyDescent="0.25">
      <c r="T155" s="3" t="s">
        <v>378</v>
      </c>
      <c r="U155" s="3" t="s">
        <v>380</v>
      </c>
      <c r="V155" s="3">
        <v>10628637.6</v>
      </c>
      <c r="W155" s="3">
        <v>13796620.52</v>
      </c>
      <c r="X155" s="3">
        <f t="shared" si="6"/>
        <v>2.6436844872945696E-2</v>
      </c>
      <c r="Y155" s="3">
        <f t="shared" si="7"/>
        <v>3.7207258094364044E-2</v>
      </c>
      <c r="Z155" s="3">
        <f t="shared" si="8"/>
        <v>1.0770413221418348E-2</v>
      </c>
    </row>
    <row r="156" spans="20:26" x14ac:dyDescent="0.25">
      <c r="T156" s="3" t="s">
        <v>1451</v>
      </c>
      <c r="U156" s="3" t="s">
        <v>79</v>
      </c>
      <c r="V156" s="3"/>
      <c r="W156" s="3">
        <v>3964549.15</v>
      </c>
      <c r="X156" s="3">
        <f t="shared" si="6"/>
        <v>0</v>
      </c>
      <c r="Y156" s="3">
        <f t="shared" si="7"/>
        <v>1.0691748985775655E-2</v>
      </c>
      <c r="Z156" s="3">
        <f t="shared" si="8"/>
        <v>1.0691748985775655E-2</v>
      </c>
    </row>
    <row r="157" spans="20:26" x14ac:dyDescent="0.25">
      <c r="T157" s="3" t="s">
        <v>1452</v>
      </c>
      <c r="U157" s="3" t="s">
        <v>1583</v>
      </c>
      <c r="V157" s="3"/>
      <c r="W157" s="3">
        <v>3954298.44</v>
      </c>
      <c r="X157" s="3">
        <f t="shared" si="6"/>
        <v>0</v>
      </c>
      <c r="Y157" s="3">
        <f t="shared" si="7"/>
        <v>1.0664104475870668E-2</v>
      </c>
      <c r="Z157" s="3">
        <f t="shared" si="8"/>
        <v>1.0664104475870668E-2</v>
      </c>
    </row>
    <row r="158" spans="20:26" x14ac:dyDescent="0.25">
      <c r="T158" s="3" t="s">
        <v>1453</v>
      </c>
      <c r="U158" s="3" t="s">
        <v>1584</v>
      </c>
      <c r="V158" s="3"/>
      <c r="W158" s="3">
        <v>3692045.72</v>
      </c>
      <c r="X158" s="3">
        <f t="shared" si="6"/>
        <v>0</v>
      </c>
      <c r="Y158" s="3">
        <f t="shared" si="7"/>
        <v>9.9568512304223419E-3</v>
      </c>
      <c r="Z158" s="3">
        <f t="shared" si="8"/>
        <v>9.9568512304223419E-3</v>
      </c>
    </row>
    <row r="159" spans="20:26" x14ac:dyDescent="0.25">
      <c r="T159" s="3" t="s">
        <v>449</v>
      </c>
      <c r="U159" s="3" t="s">
        <v>454</v>
      </c>
      <c r="V159" s="3">
        <v>4016260.99</v>
      </c>
      <c r="W159" s="3">
        <v>7317113.7599999998</v>
      </c>
      <c r="X159" s="3">
        <f t="shared" si="6"/>
        <v>9.9897345979595084E-3</v>
      </c>
      <c r="Y159" s="3">
        <f t="shared" si="7"/>
        <v>1.9733074471351954E-2</v>
      </c>
      <c r="Z159" s="3">
        <f t="shared" si="8"/>
        <v>9.7433398733924453E-3</v>
      </c>
    </row>
    <row r="160" spans="20:26" x14ac:dyDescent="0.25">
      <c r="T160" s="3" t="s">
        <v>211</v>
      </c>
      <c r="U160" s="3" t="s">
        <v>213</v>
      </c>
      <c r="V160" s="3">
        <v>63025687.789999999</v>
      </c>
      <c r="W160" s="3">
        <v>61675529.630000003</v>
      </c>
      <c r="X160" s="3">
        <f t="shared" si="6"/>
        <v>0.15676518419585006</v>
      </c>
      <c r="Y160" s="3">
        <f t="shared" si="7"/>
        <v>0.16632894597074899</v>
      </c>
      <c r="Z160" s="3">
        <f t="shared" si="8"/>
        <v>9.5637617748989268E-3</v>
      </c>
    </row>
    <row r="161" spans="20:26" x14ac:dyDescent="0.25">
      <c r="T161" s="3" t="s">
        <v>516</v>
      </c>
      <c r="U161" s="3" t="s">
        <v>531</v>
      </c>
      <c r="V161" s="3">
        <v>564428.25</v>
      </c>
      <c r="W161" s="3">
        <v>4056681.49</v>
      </c>
      <c r="X161" s="3">
        <f t="shared" si="6"/>
        <v>1.4039148429670998E-3</v>
      </c>
      <c r="Y161" s="3">
        <f t="shared" si="7"/>
        <v>1.0940215032098258E-2</v>
      </c>
      <c r="Z161" s="3">
        <f t="shared" si="8"/>
        <v>9.5363001891311579E-3</v>
      </c>
    </row>
    <row r="162" spans="20:26" x14ac:dyDescent="0.25">
      <c r="T162" s="3" t="s">
        <v>1454</v>
      </c>
      <c r="U162" s="3" t="s">
        <v>1585</v>
      </c>
      <c r="V162" s="3"/>
      <c r="W162" s="3">
        <v>3526527.61</v>
      </c>
      <c r="X162" s="3">
        <f t="shared" si="6"/>
        <v>0</v>
      </c>
      <c r="Y162" s="3">
        <f t="shared" si="7"/>
        <v>9.5104756104555654E-3</v>
      </c>
      <c r="Z162" s="3">
        <f t="shared" si="8"/>
        <v>9.5104756104555654E-3</v>
      </c>
    </row>
    <row r="163" spans="20:26" x14ac:dyDescent="0.25">
      <c r="T163" s="3" t="s">
        <v>1456</v>
      </c>
      <c r="U163" s="3" t="s">
        <v>1587</v>
      </c>
      <c r="V163" s="3"/>
      <c r="W163" s="3">
        <v>3463547.66</v>
      </c>
      <c r="X163" s="3">
        <f t="shared" si="6"/>
        <v>0</v>
      </c>
      <c r="Y163" s="3">
        <f t="shared" si="7"/>
        <v>9.3406288533440535E-3</v>
      </c>
      <c r="Z163" s="3">
        <f t="shared" si="8"/>
        <v>9.3406288533440535E-3</v>
      </c>
    </row>
    <row r="164" spans="20:26" x14ac:dyDescent="0.25">
      <c r="T164" s="3" t="s">
        <v>480</v>
      </c>
      <c r="U164" s="3" t="s">
        <v>484</v>
      </c>
      <c r="V164" s="3">
        <v>2909765.03</v>
      </c>
      <c r="W164" s="3">
        <v>5781729.7999999998</v>
      </c>
      <c r="X164" s="3">
        <f t="shared" si="6"/>
        <v>7.2375227766569234E-3</v>
      </c>
      <c r="Y164" s="3">
        <f t="shared" si="7"/>
        <v>1.5592391817157538E-2</v>
      </c>
      <c r="Z164" s="3">
        <f t="shared" si="8"/>
        <v>8.3548690405006142E-3</v>
      </c>
    </row>
    <row r="165" spans="20:26" x14ac:dyDescent="0.25">
      <c r="T165" s="3" t="s">
        <v>474</v>
      </c>
      <c r="U165" s="3" t="s">
        <v>476</v>
      </c>
      <c r="V165" s="3">
        <v>3692744.47</v>
      </c>
      <c r="W165" s="3">
        <v>6103025.8399999999</v>
      </c>
      <c r="X165" s="3">
        <f t="shared" si="6"/>
        <v>9.1850448178624599E-3</v>
      </c>
      <c r="Y165" s="3">
        <f t="shared" si="7"/>
        <v>1.6458875364171639E-2</v>
      </c>
      <c r="Z165" s="3">
        <f t="shared" si="8"/>
        <v>7.2738305463091787E-3</v>
      </c>
    </row>
    <row r="166" spans="20:26" x14ac:dyDescent="0.25">
      <c r="T166" s="3" t="s">
        <v>1458</v>
      </c>
      <c r="U166" s="3" t="s">
        <v>1589</v>
      </c>
      <c r="V166" s="3"/>
      <c r="W166" s="3">
        <v>2615532.31</v>
      </c>
      <c r="X166" s="3">
        <f t="shared" si="6"/>
        <v>0</v>
      </c>
      <c r="Y166" s="3">
        <f t="shared" si="7"/>
        <v>7.0536683654699945E-3</v>
      </c>
      <c r="Z166" s="3">
        <f t="shared" si="8"/>
        <v>7.0536683654699945E-3</v>
      </c>
    </row>
    <row r="167" spans="20:26" x14ac:dyDescent="0.25">
      <c r="T167" s="3" t="s">
        <v>1459</v>
      </c>
      <c r="U167" s="3" t="s">
        <v>1590</v>
      </c>
      <c r="V167" s="3"/>
      <c r="W167" s="3">
        <v>2339271.58</v>
      </c>
      <c r="X167" s="3">
        <f t="shared" si="6"/>
        <v>0</v>
      </c>
      <c r="Y167" s="3">
        <f t="shared" si="7"/>
        <v>6.3086377786283248E-3</v>
      </c>
      <c r="Z167" s="3">
        <f t="shared" si="8"/>
        <v>6.3086377786283248E-3</v>
      </c>
    </row>
    <row r="168" spans="20:26" x14ac:dyDescent="0.25">
      <c r="T168" s="3" t="s">
        <v>561</v>
      </c>
      <c r="U168" s="3" t="s">
        <v>565</v>
      </c>
      <c r="V168" s="3">
        <v>993286.98</v>
      </c>
      <c r="W168" s="3">
        <v>3176575.74</v>
      </c>
      <c r="X168" s="3">
        <f t="shared" si="6"/>
        <v>2.4706246268643797E-3</v>
      </c>
      <c r="Y168" s="3">
        <f t="shared" si="7"/>
        <v>8.5667119163813504E-3</v>
      </c>
      <c r="Z168" s="3">
        <f t="shared" si="8"/>
        <v>6.0960872895169712E-3</v>
      </c>
    </row>
    <row r="169" spans="20:26" x14ac:dyDescent="0.25">
      <c r="T169" s="3" t="s">
        <v>1460</v>
      </c>
      <c r="U169" s="3" t="s">
        <v>1591</v>
      </c>
      <c r="V169" s="3"/>
      <c r="W169" s="3">
        <v>2197743.4300000002</v>
      </c>
      <c r="X169" s="3">
        <f t="shared" si="6"/>
        <v>0</v>
      </c>
      <c r="Y169" s="3">
        <f t="shared" si="7"/>
        <v>5.9269592076308629E-3</v>
      </c>
      <c r="Z169" s="3">
        <f t="shared" si="8"/>
        <v>5.9269592076308629E-3</v>
      </c>
    </row>
    <row r="170" spans="20:26" x14ac:dyDescent="0.25">
      <c r="T170" s="3" t="s">
        <v>600</v>
      </c>
      <c r="U170" s="3" t="s">
        <v>604</v>
      </c>
      <c r="V170" s="3">
        <v>182944.53</v>
      </c>
      <c r="W170" s="3">
        <v>2275395.6800000002</v>
      </c>
      <c r="X170" s="3">
        <f t="shared" si="6"/>
        <v>4.5504196699339535E-4</v>
      </c>
      <c r="Y170" s="3">
        <f t="shared" si="7"/>
        <v>6.1363747890168813E-3</v>
      </c>
      <c r="Z170" s="3">
        <f t="shared" si="8"/>
        <v>5.6813328220234856E-3</v>
      </c>
    </row>
    <row r="171" spans="20:26" x14ac:dyDescent="0.25">
      <c r="T171" s="3" t="s">
        <v>410</v>
      </c>
      <c r="U171" s="3" t="s">
        <v>412</v>
      </c>
      <c r="V171" s="3">
        <v>9155452.4600000009</v>
      </c>
      <c r="W171" s="3">
        <v>10407420.01</v>
      </c>
      <c r="X171" s="3">
        <f t="shared" si="6"/>
        <v>2.2772558961521947E-2</v>
      </c>
      <c r="Y171" s="3">
        <f t="shared" si="7"/>
        <v>2.8067131501310495E-2</v>
      </c>
      <c r="Z171" s="3">
        <f t="shared" si="8"/>
        <v>5.2945725397885481E-3</v>
      </c>
    </row>
    <row r="172" spans="20:26" x14ac:dyDescent="0.25">
      <c r="T172" s="3" t="s">
        <v>1461</v>
      </c>
      <c r="U172" s="3" t="s">
        <v>1592</v>
      </c>
      <c r="V172" s="3"/>
      <c r="W172" s="3">
        <v>1827628.59</v>
      </c>
      <c r="X172" s="3">
        <f t="shared" si="6"/>
        <v>0</v>
      </c>
      <c r="Y172" s="3">
        <f t="shared" si="7"/>
        <v>4.9288192387543211E-3</v>
      </c>
      <c r="Z172" s="3">
        <f t="shared" si="8"/>
        <v>4.9288192387543211E-3</v>
      </c>
    </row>
    <row r="173" spans="20:26" x14ac:dyDescent="0.25">
      <c r="T173" s="3" t="s">
        <v>465</v>
      </c>
      <c r="U173" s="3" t="s">
        <v>469</v>
      </c>
      <c r="V173" s="3">
        <v>5031107.49</v>
      </c>
      <c r="W173" s="3">
        <v>6456998.9400000004</v>
      </c>
      <c r="X173" s="3">
        <f t="shared" si="6"/>
        <v>1.2513984694731261E-2</v>
      </c>
      <c r="Y173" s="3">
        <f t="shared" si="7"/>
        <v>1.7413483666333027E-2</v>
      </c>
      <c r="Z173" s="3">
        <f t="shared" si="8"/>
        <v>4.8994989716017665E-3</v>
      </c>
    </row>
    <row r="174" spans="20:26" x14ac:dyDescent="0.25">
      <c r="T174" s="3" t="s">
        <v>330</v>
      </c>
      <c r="U174" s="3" t="s">
        <v>336</v>
      </c>
      <c r="V174" s="3">
        <v>17791224.620000001</v>
      </c>
      <c r="W174" s="3">
        <v>18178464.5</v>
      </c>
      <c r="X174" s="3">
        <f t="shared" si="6"/>
        <v>4.4252505643684034E-2</v>
      </c>
      <c r="Y174" s="3">
        <f t="shared" si="7"/>
        <v>4.9024383864892621E-2</v>
      </c>
      <c r="Z174" s="3">
        <f t="shared" si="8"/>
        <v>4.7718782212085864E-3</v>
      </c>
    </row>
    <row r="175" spans="20:26" x14ac:dyDescent="0.25">
      <c r="T175" s="3" t="s">
        <v>1462</v>
      </c>
      <c r="U175" s="3" t="s">
        <v>1593</v>
      </c>
      <c r="V175" s="3"/>
      <c r="W175" s="3">
        <v>1710572.66</v>
      </c>
      <c r="X175" s="3">
        <f t="shared" si="6"/>
        <v>0</v>
      </c>
      <c r="Y175" s="3">
        <f t="shared" si="7"/>
        <v>4.6131382940858643E-3</v>
      </c>
      <c r="Z175" s="3">
        <f t="shared" si="8"/>
        <v>4.6131382940858643E-3</v>
      </c>
    </row>
    <row r="176" spans="20:26" x14ac:dyDescent="0.25">
      <c r="T176" s="3" t="s">
        <v>618</v>
      </c>
      <c r="U176" s="3" t="s">
        <v>631</v>
      </c>
      <c r="V176" s="3">
        <v>208938.83</v>
      </c>
      <c r="W176" s="3">
        <v>1865929.39</v>
      </c>
      <c r="X176" s="3">
        <f t="shared" si="6"/>
        <v>5.1969816306887467E-4</v>
      </c>
      <c r="Y176" s="3">
        <f t="shared" si="7"/>
        <v>5.0321103127354307E-3</v>
      </c>
      <c r="Z176" s="3">
        <f t="shared" si="8"/>
        <v>4.5124121496665556E-3</v>
      </c>
    </row>
    <row r="177" spans="20:26" x14ac:dyDescent="0.25">
      <c r="T177" s="3" t="s">
        <v>646</v>
      </c>
      <c r="U177" s="3" t="s">
        <v>649</v>
      </c>
      <c r="V177" s="3">
        <v>110306.52</v>
      </c>
      <c r="W177" s="3">
        <v>1752222.82</v>
      </c>
      <c r="X177" s="3">
        <f t="shared" si="6"/>
        <v>2.7436784162388622E-4</v>
      </c>
      <c r="Y177" s="3">
        <f t="shared" si="7"/>
        <v>4.7254620512367611E-3</v>
      </c>
      <c r="Z177" s="3">
        <f t="shared" si="8"/>
        <v>4.4510942096128749E-3</v>
      </c>
    </row>
    <row r="178" spans="20:26" x14ac:dyDescent="0.25">
      <c r="T178" s="3" t="s">
        <v>1463</v>
      </c>
      <c r="U178" s="3" t="s">
        <v>1594</v>
      </c>
      <c r="V178" s="3"/>
      <c r="W178" s="3">
        <v>1621500.85</v>
      </c>
      <c r="X178" s="3">
        <f t="shared" si="6"/>
        <v>0</v>
      </c>
      <c r="Y178" s="3">
        <f t="shared" si="7"/>
        <v>4.3729260030543103E-3</v>
      </c>
      <c r="Z178" s="3">
        <f t="shared" si="8"/>
        <v>4.3729260030543103E-3</v>
      </c>
    </row>
    <row r="179" spans="20:26" x14ac:dyDescent="0.25">
      <c r="T179" s="3" t="s">
        <v>1464</v>
      </c>
      <c r="U179" s="3" t="s">
        <v>1595</v>
      </c>
      <c r="V179" s="3"/>
      <c r="W179" s="3">
        <v>1619650.61</v>
      </c>
      <c r="X179" s="3">
        <f t="shared" si="6"/>
        <v>0</v>
      </c>
      <c r="Y179" s="3">
        <f t="shared" si="7"/>
        <v>4.3679362044933712E-3</v>
      </c>
      <c r="Z179" s="3">
        <f t="shared" si="8"/>
        <v>4.3679362044933712E-3</v>
      </c>
    </row>
    <row r="180" spans="20:26" x14ac:dyDescent="0.25">
      <c r="T180" s="3" t="s">
        <v>311</v>
      </c>
      <c r="U180" s="3" t="s">
        <v>317</v>
      </c>
      <c r="V180" s="3">
        <v>19662664.879999999</v>
      </c>
      <c r="W180" s="3">
        <v>19742375.280000001</v>
      </c>
      <c r="X180" s="3">
        <f t="shared" si="6"/>
        <v>4.890738030444066E-2</v>
      </c>
      <c r="Y180" s="3">
        <f t="shared" si="7"/>
        <v>5.3241998747005664E-2</v>
      </c>
      <c r="Z180" s="3">
        <f t="shared" si="8"/>
        <v>4.3346184425650039E-3</v>
      </c>
    </row>
    <row r="181" spans="20:26" x14ac:dyDescent="0.25">
      <c r="T181" s="3" t="s">
        <v>1465</v>
      </c>
      <c r="U181" s="3" t="s">
        <v>1596</v>
      </c>
      <c r="V181" s="3"/>
      <c r="W181" s="3">
        <v>1556156.43</v>
      </c>
      <c r="X181" s="3">
        <f t="shared" si="6"/>
        <v>0</v>
      </c>
      <c r="Y181" s="3">
        <f t="shared" si="7"/>
        <v>4.1967026520936847E-3</v>
      </c>
      <c r="Z181" s="3">
        <f t="shared" si="8"/>
        <v>4.1967026520936847E-3</v>
      </c>
    </row>
    <row r="182" spans="20:26" x14ac:dyDescent="0.25">
      <c r="T182" s="3" t="s">
        <v>331</v>
      </c>
      <c r="U182" s="3" t="s">
        <v>337</v>
      </c>
      <c r="V182" s="3">
        <v>17837988.350000001</v>
      </c>
      <c r="W182" s="3">
        <v>17953540.559999999</v>
      </c>
      <c r="X182" s="3">
        <f t="shared" si="6"/>
        <v>4.4368822101372864E-2</v>
      </c>
      <c r="Y182" s="3">
        <f t="shared" si="7"/>
        <v>4.8417800312416874E-2</v>
      </c>
      <c r="Z182" s="3">
        <f t="shared" si="8"/>
        <v>4.0489782110440103E-3</v>
      </c>
    </row>
    <row r="183" spans="20:26" x14ac:dyDescent="0.25">
      <c r="T183" s="3" t="s">
        <v>415</v>
      </c>
      <c r="U183" s="3" t="s">
        <v>416</v>
      </c>
      <c r="V183" s="3">
        <v>9046738.6199999992</v>
      </c>
      <c r="W183" s="3">
        <v>9797354.5700000003</v>
      </c>
      <c r="X183" s="3">
        <f t="shared" si="6"/>
        <v>2.250215262801197E-2</v>
      </c>
      <c r="Y183" s="3">
        <f t="shared" si="7"/>
        <v>2.6421883503974716E-2</v>
      </c>
      <c r="Z183" s="3">
        <f t="shared" si="8"/>
        <v>3.9197308759627465E-3</v>
      </c>
    </row>
    <row r="184" spans="20:26" x14ac:dyDescent="0.25">
      <c r="T184" s="3" t="s">
        <v>1466</v>
      </c>
      <c r="U184" s="3" t="s">
        <v>1597</v>
      </c>
      <c r="V184" s="3"/>
      <c r="W184" s="3">
        <v>1409253.55</v>
      </c>
      <c r="X184" s="3">
        <f t="shared" si="6"/>
        <v>0</v>
      </c>
      <c r="Y184" s="3">
        <f t="shared" si="7"/>
        <v>3.8005293020300281E-3</v>
      </c>
      <c r="Z184" s="3">
        <f t="shared" si="8"/>
        <v>3.8005293020300281E-3</v>
      </c>
    </row>
    <row r="185" spans="20:26" x14ac:dyDescent="0.25">
      <c r="T185" s="3" t="s">
        <v>1467</v>
      </c>
      <c r="U185" s="3" t="s">
        <v>1598</v>
      </c>
      <c r="V185" s="3"/>
      <c r="W185" s="3">
        <v>1393971.14</v>
      </c>
      <c r="X185" s="3">
        <f t="shared" si="6"/>
        <v>0</v>
      </c>
      <c r="Y185" s="3">
        <f t="shared" si="7"/>
        <v>3.7593151095870591E-3</v>
      </c>
      <c r="Z185" s="3">
        <f t="shared" si="8"/>
        <v>3.7593151095870591E-3</v>
      </c>
    </row>
    <row r="186" spans="20:26" x14ac:dyDescent="0.25">
      <c r="T186" s="3" t="s">
        <v>1468</v>
      </c>
      <c r="U186" s="3" t="s">
        <v>1599</v>
      </c>
      <c r="V186" s="3"/>
      <c r="W186" s="3">
        <v>1296955.33</v>
      </c>
      <c r="X186" s="3">
        <f t="shared" si="6"/>
        <v>0</v>
      </c>
      <c r="Y186" s="3">
        <f t="shared" si="7"/>
        <v>3.4976791331049156E-3</v>
      </c>
      <c r="Z186" s="3">
        <f t="shared" si="8"/>
        <v>3.4976791331049156E-3</v>
      </c>
    </row>
    <row r="187" spans="20:26" x14ac:dyDescent="0.25">
      <c r="T187" s="3" t="s">
        <v>543</v>
      </c>
      <c r="U187" s="3" t="s">
        <v>547</v>
      </c>
      <c r="V187" s="3">
        <v>2742284.2</v>
      </c>
      <c r="W187" s="3">
        <v>3810677.6</v>
      </c>
      <c r="X187" s="3">
        <f t="shared" si="6"/>
        <v>6.8209440119521994E-3</v>
      </c>
      <c r="Y187" s="3">
        <f t="shared" si="7"/>
        <v>1.0276782257805532E-2</v>
      </c>
      <c r="Z187" s="3">
        <f t="shared" si="8"/>
        <v>3.4558382458533326E-3</v>
      </c>
    </row>
    <row r="188" spans="20:26" x14ac:dyDescent="0.25">
      <c r="T188" s="3" t="s">
        <v>418</v>
      </c>
      <c r="U188" s="3" t="s">
        <v>421</v>
      </c>
      <c r="V188" s="3">
        <v>9063903</v>
      </c>
      <c r="W188" s="3">
        <v>9594245.4000000004</v>
      </c>
      <c r="X188" s="3">
        <f t="shared" si="6"/>
        <v>2.2544845969198077E-2</v>
      </c>
      <c r="Y188" s="3">
        <f t="shared" si="7"/>
        <v>2.5874130864220145E-2</v>
      </c>
      <c r="Z188" s="3">
        <f t="shared" si="8"/>
        <v>3.3292848950220687E-3</v>
      </c>
    </row>
    <row r="189" spans="20:26" x14ac:dyDescent="0.25">
      <c r="T189" s="3" t="s">
        <v>620</v>
      </c>
      <c r="U189" s="3" t="s">
        <v>633</v>
      </c>
      <c r="V189" s="3">
        <v>726018.6</v>
      </c>
      <c r="W189" s="3">
        <v>1854267.27</v>
      </c>
      <c r="X189" s="3">
        <f t="shared" si="6"/>
        <v>1.8058420867669072E-3</v>
      </c>
      <c r="Y189" s="3">
        <f t="shared" si="7"/>
        <v>5.0006594579309208E-3</v>
      </c>
      <c r="Z189" s="3">
        <f t="shared" si="8"/>
        <v>3.1948173711640136E-3</v>
      </c>
    </row>
    <row r="190" spans="20:26" x14ac:dyDescent="0.25">
      <c r="T190" s="3" t="s">
        <v>351</v>
      </c>
      <c r="U190" s="3" t="s">
        <v>361</v>
      </c>
      <c r="V190" s="3">
        <v>15683848.43</v>
      </c>
      <c r="W190" s="3">
        <v>15634280.16</v>
      </c>
      <c r="X190" s="3">
        <f t="shared" si="6"/>
        <v>3.9010782337211586E-2</v>
      </c>
      <c r="Y190" s="3">
        <f t="shared" si="7"/>
        <v>4.2163129455467199E-2</v>
      </c>
      <c r="Z190" s="3">
        <f t="shared" si="8"/>
        <v>3.1523471182556134E-3</v>
      </c>
    </row>
    <row r="191" spans="20:26" x14ac:dyDescent="0.25">
      <c r="T191" s="3" t="s">
        <v>1469</v>
      </c>
      <c r="U191" s="3" t="s">
        <v>1600</v>
      </c>
      <c r="V191" s="3"/>
      <c r="W191" s="3">
        <v>1161789.23</v>
      </c>
      <c r="X191" s="3">
        <f t="shared" si="6"/>
        <v>0</v>
      </c>
      <c r="Y191" s="3">
        <f t="shared" si="7"/>
        <v>3.1331579838119999E-3</v>
      </c>
      <c r="Z191" s="3">
        <f t="shared" si="8"/>
        <v>3.1331579838119999E-3</v>
      </c>
    </row>
    <row r="192" spans="20:26" x14ac:dyDescent="0.25">
      <c r="T192" s="3" t="s">
        <v>483</v>
      </c>
      <c r="U192" s="3" t="s">
        <v>487</v>
      </c>
      <c r="V192" s="3">
        <v>4667590.1399999997</v>
      </c>
      <c r="W192" s="3">
        <v>5459426.1299999999</v>
      </c>
      <c r="X192" s="3">
        <f t="shared" si="6"/>
        <v>1.1609799967370313E-2</v>
      </c>
      <c r="Y192" s="3">
        <f t="shared" si="7"/>
        <v>1.4723190854714113E-2</v>
      </c>
      <c r="Z192" s="3">
        <f t="shared" si="8"/>
        <v>3.1133908873437997E-3</v>
      </c>
    </row>
    <row r="193" spans="20:26" x14ac:dyDescent="0.25">
      <c r="T193" s="3" t="s">
        <v>1470</v>
      </c>
      <c r="U193" s="3" t="s">
        <v>1601</v>
      </c>
      <c r="V193" s="3"/>
      <c r="W193" s="3">
        <v>1151817.92</v>
      </c>
      <c r="X193" s="3">
        <f t="shared" si="6"/>
        <v>0</v>
      </c>
      <c r="Y193" s="3">
        <f t="shared" si="7"/>
        <v>3.1062669705982137E-3</v>
      </c>
      <c r="Z193" s="3">
        <f t="shared" si="8"/>
        <v>3.1062669705982137E-3</v>
      </c>
    </row>
    <row r="194" spans="20:26" x14ac:dyDescent="0.25">
      <c r="T194" s="3" t="s">
        <v>396</v>
      </c>
      <c r="U194" s="3" t="s">
        <v>398</v>
      </c>
      <c r="V194" s="3">
        <v>11400461.84</v>
      </c>
      <c r="W194" s="3">
        <v>11637215.27</v>
      </c>
      <c r="X194" s="3">
        <f t="shared" ref="X194:X257" si="9">V194/(R$2*12)</f>
        <v>2.8356620338999713E-2</v>
      </c>
      <c r="Y194" s="3">
        <f t="shared" ref="Y194:Y257" si="10">W194/(R$3*12)</f>
        <v>3.1383690768539335E-2</v>
      </c>
      <c r="Z194" s="3">
        <f t="shared" ref="Z194:Z257" si="11">Y194-X194</f>
        <v>3.0270704295396224E-3</v>
      </c>
    </row>
    <row r="195" spans="20:26" x14ac:dyDescent="0.25">
      <c r="T195" s="3" t="s">
        <v>1352</v>
      </c>
      <c r="U195" s="3" t="s">
        <v>1602</v>
      </c>
      <c r="V195" s="3">
        <v>19759.689999999999</v>
      </c>
      <c r="W195" s="3">
        <v>1127418.1599999999</v>
      </c>
      <c r="X195" s="3">
        <f t="shared" si="9"/>
        <v>4.9148713026728499E-5</v>
      </c>
      <c r="Y195" s="3">
        <f t="shared" si="10"/>
        <v>3.0404647571906263E-3</v>
      </c>
      <c r="Z195" s="3">
        <f t="shared" si="11"/>
        <v>2.9913160441638977E-3</v>
      </c>
    </row>
    <row r="196" spans="20:26" x14ac:dyDescent="0.25">
      <c r="T196" s="3" t="s">
        <v>1471</v>
      </c>
      <c r="U196" s="3" t="s">
        <v>1603</v>
      </c>
      <c r="V196" s="3"/>
      <c r="W196" s="3">
        <v>1076315.73</v>
      </c>
      <c r="X196" s="3">
        <f t="shared" si="9"/>
        <v>0</v>
      </c>
      <c r="Y196" s="3">
        <f t="shared" si="10"/>
        <v>2.902649753907549E-3</v>
      </c>
      <c r="Z196" s="3">
        <f t="shared" si="11"/>
        <v>2.902649753907549E-3</v>
      </c>
    </row>
    <row r="197" spans="20:26" x14ac:dyDescent="0.25">
      <c r="T197" s="3" t="s">
        <v>448</v>
      </c>
      <c r="U197" s="3" t="s">
        <v>453</v>
      </c>
      <c r="V197" s="3">
        <v>6863050.5999999996</v>
      </c>
      <c r="W197" s="3">
        <v>7358267.1399999997</v>
      </c>
      <c r="X197" s="3">
        <f t="shared" si="9"/>
        <v>1.7070617222604043E-2</v>
      </c>
      <c r="Y197" s="3">
        <f t="shared" si="10"/>
        <v>1.9844058493047392E-2</v>
      </c>
      <c r="Z197" s="3">
        <f t="shared" si="11"/>
        <v>2.7734412704433498E-3</v>
      </c>
    </row>
    <row r="198" spans="20:26" x14ac:dyDescent="0.25">
      <c r="T198" s="3" t="s">
        <v>464</v>
      </c>
      <c r="U198" s="3" t="s">
        <v>467</v>
      </c>
      <c r="V198" s="3">
        <v>6294985.6299999999</v>
      </c>
      <c r="W198" s="3">
        <v>6792125.1399999997</v>
      </c>
      <c r="X198" s="3">
        <f t="shared" si="9"/>
        <v>1.5657656685719751E-2</v>
      </c>
      <c r="Y198" s="3">
        <f t="shared" si="10"/>
        <v>1.8317264922004139E-2</v>
      </c>
      <c r="Z198" s="3">
        <f t="shared" si="11"/>
        <v>2.6596082362843887E-3</v>
      </c>
    </row>
    <row r="199" spans="20:26" x14ac:dyDescent="0.25">
      <c r="T199" s="3" t="s">
        <v>503</v>
      </c>
      <c r="U199" s="3" t="s">
        <v>518</v>
      </c>
      <c r="V199" s="3">
        <v>4197713.7</v>
      </c>
      <c r="W199" s="3">
        <v>4782978.34</v>
      </c>
      <c r="X199" s="3">
        <f t="shared" si="9"/>
        <v>1.0441065928142937E-2</v>
      </c>
      <c r="Y199" s="3">
        <f t="shared" si="10"/>
        <v>1.2898920376780277E-2</v>
      </c>
      <c r="Z199" s="3">
        <f t="shared" si="11"/>
        <v>2.4578544486373397E-3</v>
      </c>
    </row>
    <row r="200" spans="20:26" x14ac:dyDescent="0.25">
      <c r="T200" s="3" t="s">
        <v>556</v>
      </c>
      <c r="U200" s="3" t="s">
        <v>557</v>
      </c>
      <c r="V200" s="3">
        <v>2851375.49</v>
      </c>
      <c r="W200" s="3">
        <v>3525808.28</v>
      </c>
      <c r="X200" s="3">
        <f t="shared" si="9"/>
        <v>7.0922891851773681E-3</v>
      </c>
      <c r="Y200" s="3">
        <f t="shared" si="10"/>
        <v>9.5085356935805439E-3</v>
      </c>
      <c r="Z200" s="3">
        <f t="shared" si="11"/>
        <v>2.4162465084031758E-3</v>
      </c>
    </row>
    <row r="201" spans="20:26" x14ac:dyDescent="0.25">
      <c r="T201" s="3" t="s">
        <v>1472</v>
      </c>
      <c r="U201" s="3" t="s">
        <v>1604</v>
      </c>
      <c r="V201" s="3"/>
      <c r="W201" s="3">
        <v>859764.07</v>
      </c>
      <c r="X201" s="3">
        <f t="shared" si="9"/>
        <v>0</v>
      </c>
      <c r="Y201" s="3">
        <f t="shared" si="10"/>
        <v>2.3186448888971017E-3</v>
      </c>
      <c r="Z201" s="3">
        <f t="shared" si="11"/>
        <v>2.3186448888971017E-3</v>
      </c>
    </row>
    <row r="202" spans="20:26" x14ac:dyDescent="0.25">
      <c r="T202" s="3" t="s">
        <v>510</v>
      </c>
      <c r="U202" s="3" t="s">
        <v>525</v>
      </c>
      <c r="V202" s="3">
        <v>3805553.13</v>
      </c>
      <c r="W202" s="3">
        <v>4344086.93</v>
      </c>
      <c r="X202" s="3">
        <f t="shared" si="9"/>
        <v>9.4656362875297356E-3</v>
      </c>
      <c r="Y202" s="3">
        <f t="shared" si="10"/>
        <v>1.171530110250967E-2</v>
      </c>
      <c r="Z202" s="3">
        <f t="shared" si="11"/>
        <v>2.2496648149799344E-3</v>
      </c>
    </row>
    <row r="203" spans="20:26" x14ac:dyDescent="0.25">
      <c r="T203" s="3" t="s">
        <v>645</v>
      </c>
      <c r="U203" s="3" t="s">
        <v>648</v>
      </c>
      <c r="V203" s="3">
        <v>1078042.74</v>
      </c>
      <c r="W203" s="3">
        <v>1791467.83</v>
      </c>
      <c r="X203" s="3">
        <f t="shared" si="9"/>
        <v>2.6814394992435656E-3</v>
      </c>
      <c r="Y203" s="3">
        <f t="shared" si="10"/>
        <v>4.8312995071462823E-3</v>
      </c>
      <c r="Z203" s="3">
        <f t="shared" si="11"/>
        <v>2.1498600079027166E-3</v>
      </c>
    </row>
    <row r="204" spans="20:26" x14ac:dyDescent="0.25">
      <c r="T204" s="3" t="s">
        <v>1473</v>
      </c>
      <c r="U204" s="3" t="s">
        <v>1605</v>
      </c>
      <c r="V204" s="3"/>
      <c r="W204" s="3">
        <v>796228.12</v>
      </c>
      <c r="X204" s="3">
        <f t="shared" si="9"/>
        <v>0</v>
      </c>
      <c r="Y204" s="3">
        <f t="shared" si="10"/>
        <v>2.1472986895511325E-3</v>
      </c>
      <c r="Z204" s="3">
        <f t="shared" si="11"/>
        <v>2.1472986895511325E-3</v>
      </c>
    </row>
    <row r="205" spans="20:26" x14ac:dyDescent="0.25">
      <c r="T205" s="3" t="s">
        <v>613</v>
      </c>
      <c r="U205" s="3" t="s">
        <v>625</v>
      </c>
      <c r="V205" s="3">
        <v>1396845.14</v>
      </c>
      <c r="W205" s="3">
        <v>2075657.96</v>
      </c>
      <c r="X205" s="3">
        <f t="shared" si="9"/>
        <v>3.4744037446255683E-3</v>
      </c>
      <c r="Y205" s="3">
        <f t="shared" si="10"/>
        <v>5.5977144055956943E-3</v>
      </c>
      <c r="Z205" s="3">
        <f t="shared" si="11"/>
        <v>2.1233106609701261E-3</v>
      </c>
    </row>
    <row r="206" spans="20:26" x14ac:dyDescent="0.25">
      <c r="T206" s="3" t="s">
        <v>1474</v>
      </c>
      <c r="U206" s="3" t="s">
        <v>1606</v>
      </c>
      <c r="V206" s="3"/>
      <c r="W206" s="3">
        <v>767070.1</v>
      </c>
      <c r="X206" s="3">
        <f t="shared" si="9"/>
        <v>0</v>
      </c>
      <c r="Y206" s="3">
        <f t="shared" si="10"/>
        <v>2.0686642171389978E-3</v>
      </c>
      <c r="Z206" s="3">
        <f t="shared" si="11"/>
        <v>2.0686642171389978E-3</v>
      </c>
    </row>
    <row r="207" spans="20:26" x14ac:dyDescent="0.25">
      <c r="T207" s="3" t="s">
        <v>1475</v>
      </c>
      <c r="U207" s="3" t="s">
        <v>1607</v>
      </c>
      <c r="V207" s="3"/>
      <c r="W207" s="3">
        <v>748627.44</v>
      </c>
      <c r="X207" s="3">
        <f t="shared" si="9"/>
        <v>0</v>
      </c>
      <c r="Y207" s="3">
        <f t="shared" si="10"/>
        <v>2.0189273406646564E-3</v>
      </c>
      <c r="Z207" s="3">
        <f t="shared" si="11"/>
        <v>2.0189273406646564E-3</v>
      </c>
    </row>
    <row r="208" spans="20:26" x14ac:dyDescent="0.25">
      <c r="T208" s="3" t="s">
        <v>654</v>
      </c>
      <c r="U208" s="3" t="s">
        <v>656</v>
      </c>
      <c r="V208" s="3">
        <v>1013582.68</v>
      </c>
      <c r="W208" s="3">
        <v>1680890.67</v>
      </c>
      <c r="X208" s="3">
        <f t="shared" si="9"/>
        <v>2.5211065693936693E-3</v>
      </c>
      <c r="Y208" s="3">
        <f t="shared" si="10"/>
        <v>4.5330907591780668E-3</v>
      </c>
      <c r="Z208" s="3">
        <f t="shared" si="11"/>
        <v>2.0119841897843975E-3</v>
      </c>
    </row>
    <row r="209" spans="20:26" x14ac:dyDescent="0.25">
      <c r="T209" s="3" t="s">
        <v>601</v>
      </c>
      <c r="U209" s="3" t="s">
        <v>605</v>
      </c>
      <c r="V209" s="3">
        <v>1658733.58</v>
      </c>
      <c r="W209" s="3">
        <v>2258904.52</v>
      </c>
      <c r="X209" s="3">
        <f t="shared" si="9"/>
        <v>4.1258046412275705E-3</v>
      </c>
      <c r="Y209" s="3">
        <f t="shared" si="10"/>
        <v>6.0919007929751716E-3</v>
      </c>
      <c r="Z209" s="3">
        <f t="shared" si="11"/>
        <v>1.9660961517476011E-3</v>
      </c>
    </row>
    <row r="210" spans="20:26" x14ac:dyDescent="0.25">
      <c r="T210" s="3" t="s">
        <v>283</v>
      </c>
      <c r="U210" s="3" t="s">
        <v>286</v>
      </c>
      <c r="V210" s="3">
        <v>31188756.329999998</v>
      </c>
      <c r="W210" s="3">
        <v>29490763.809999999</v>
      </c>
      <c r="X210" s="3">
        <f t="shared" si="9"/>
        <v>7.7576481944996709E-2</v>
      </c>
      <c r="Y210" s="3">
        <f t="shared" si="10"/>
        <v>7.9531828746609648E-2</v>
      </c>
      <c r="Z210" s="3">
        <f t="shared" si="11"/>
        <v>1.9553468016129394E-3</v>
      </c>
    </row>
    <row r="211" spans="20:26" x14ac:dyDescent="0.25">
      <c r="T211" s="3" t="s">
        <v>1476</v>
      </c>
      <c r="U211" s="3" t="s">
        <v>1608</v>
      </c>
      <c r="V211" s="3"/>
      <c r="W211" s="3">
        <v>698773.45</v>
      </c>
      <c r="X211" s="3">
        <f t="shared" si="9"/>
        <v>0</v>
      </c>
      <c r="Y211" s="3">
        <f t="shared" si="10"/>
        <v>1.8844791785024167E-3</v>
      </c>
      <c r="Z211" s="3">
        <f t="shared" si="11"/>
        <v>1.8844791785024167E-3</v>
      </c>
    </row>
    <row r="212" spans="20:26" x14ac:dyDescent="0.25">
      <c r="T212" s="3">
        <v>90375</v>
      </c>
      <c r="U212" s="3" t="s">
        <v>443</v>
      </c>
      <c r="V212" s="3">
        <v>7722116.1900000004</v>
      </c>
      <c r="W212" s="3">
        <v>7771016.3499999996</v>
      </c>
      <c r="X212" s="3">
        <f t="shared" si="9"/>
        <v>1.9207390023900379E-2</v>
      </c>
      <c r="Y212" s="3">
        <f t="shared" si="10"/>
        <v>2.0957176474545289E-2</v>
      </c>
      <c r="Z212" s="3">
        <f t="shared" si="11"/>
        <v>1.74978645064491E-3</v>
      </c>
    </row>
    <row r="213" spans="20:26" x14ac:dyDescent="0.25">
      <c r="T213" s="3" t="s">
        <v>621</v>
      </c>
      <c r="U213" s="3" t="s">
        <v>634</v>
      </c>
      <c r="V213" s="3">
        <v>1293816.1200000001</v>
      </c>
      <c r="W213" s="3">
        <v>1831045.57</v>
      </c>
      <c r="X213" s="3">
        <f t="shared" si="9"/>
        <v>3.2181373893636657E-3</v>
      </c>
      <c r="Y213" s="3">
        <f t="shared" si="10"/>
        <v>4.9380342821469386E-3</v>
      </c>
      <c r="Z213" s="3">
        <f t="shared" si="11"/>
        <v>1.7198968927832729E-3</v>
      </c>
    </row>
    <row r="214" spans="20:26" x14ac:dyDescent="0.25">
      <c r="T214" s="3" t="s">
        <v>1477</v>
      </c>
      <c r="U214" s="3" t="s">
        <v>1609</v>
      </c>
      <c r="V214" s="3">
        <v>68995.199999999997</v>
      </c>
      <c r="W214" s="3">
        <v>692703.79</v>
      </c>
      <c r="X214" s="3">
        <f t="shared" si="9"/>
        <v>1.7161328366091465E-4</v>
      </c>
      <c r="Y214" s="3">
        <f t="shared" si="10"/>
        <v>1.8681102854218499E-3</v>
      </c>
      <c r="Z214" s="3">
        <f t="shared" si="11"/>
        <v>1.6964970017609353E-3</v>
      </c>
    </row>
    <row r="215" spans="20:26" x14ac:dyDescent="0.25">
      <c r="T215" s="3" t="s">
        <v>1479</v>
      </c>
      <c r="U215" s="3" t="s">
        <v>1611</v>
      </c>
      <c r="V215" s="3"/>
      <c r="W215" s="3">
        <v>587908.94999999995</v>
      </c>
      <c r="X215" s="3">
        <f t="shared" si="9"/>
        <v>0</v>
      </c>
      <c r="Y215" s="3">
        <f t="shared" si="10"/>
        <v>1.5854955209449048E-3</v>
      </c>
      <c r="Z215" s="3">
        <f t="shared" si="11"/>
        <v>1.5854955209449048E-3</v>
      </c>
    </row>
    <row r="216" spans="20:26" x14ac:dyDescent="0.25">
      <c r="T216" s="3" t="s">
        <v>492</v>
      </c>
      <c r="U216" s="3" t="s">
        <v>495</v>
      </c>
      <c r="V216" s="3">
        <v>4799308.59</v>
      </c>
      <c r="W216" s="3">
        <v>5011122.4000000004</v>
      </c>
      <c r="X216" s="3">
        <f t="shared" si="9"/>
        <v>1.193742617503731E-2</v>
      </c>
      <c r="Y216" s="3">
        <f t="shared" si="10"/>
        <v>1.3514188073011446E-2</v>
      </c>
      <c r="Z216" s="3">
        <f t="shared" si="11"/>
        <v>1.5767618979741355E-3</v>
      </c>
    </row>
    <row r="217" spans="20:26" x14ac:dyDescent="0.25">
      <c r="T217" s="3">
        <v>90675</v>
      </c>
      <c r="U217" s="3" t="s">
        <v>546</v>
      </c>
      <c r="V217" s="3">
        <v>3592626.45</v>
      </c>
      <c r="W217" s="3">
        <v>3885925.58</v>
      </c>
      <c r="X217" s="3">
        <f t="shared" si="9"/>
        <v>8.9360190571453491E-3</v>
      </c>
      <c r="Y217" s="3">
        <f t="shared" si="10"/>
        <v>1.0479713911168101E-2</v>
      </c>
      <c r="Z217" s="3">
        <f t="shared" si="11"/>
        <v>1.5436948540227518E-3</v>
      </c>
    </row>
    <row r="218" spans="20:26" x14ac:dyDescent="0.25">
      <c r="T218" s="3" t="s">
        <v>1478</v>
      </c>
      <c r="U218" s="3" t="s">
        <v>1610</v>
      </c>
      <c r="V218" s="3">
        <v>107351.01</v>
      </c>
      <c r="W218" s="3">
        <v>667612.32999999996</v>
      </c>
      <c r="X218" s="3">
        <f t="shared" si="9"/>
        <v>2.6701653637377213E-4</v>
      </c>
      <c r="Y218" s="3">
        <f t="shared" si="10"/>
        <v>1.8004426687884096E-3</v>
      </c>
      <c r="Z218" s="3">
        <f t="shared" si="11"/>
        <v>1.5334261324146375E-3</v>
      </c>
    </row>
    <row r="219" spans="20:26" x14ac:dyDescent="0.25">
      <c r="T219" s="3" t="s">
        <v>614</v>
      </c>
      <c r="U219" s="3" t="s">
        <v>627</v>
      </c>
      <c r="V219" s="3">
        <v>1582287.34</v>
      </c>
      <c r="W219" s="3">
        <v>1979223.02</v>
      </c>
      <c r="X219" s="3">
        <f t="shared" si="9"/>
        <v>3.9356582213327029E-3</v>
      </c>
      <c r="Y219" s="3">
        <f t="shared" si="10"/>
        <v>5.3376449417227752E-3</v>
      </c>
      <c r="Z219" s="3">
        <f t="shared" si="11"/>
        <v>1.4019867203900723E-3</v>
      </c>
    </row>
    <row r="220" spans="20:26" x14ac:dyDescent="0.25">
      <c r="T220" s="3" t="s">
        <v>420</v>
      </c>
      <c r="U220" s="3" t="s">
        <v>423</v>
      </c>
      <c r="V220" s="3">
        <v>9270719.6400000006</v>
      </c>
      <c r="W220" s="3">
        <v>9056752.8800000008</v>
      </c>
      <c r="X220" s="3">
        <f t="shared" si="9"/>
        <v>2.3059265562243934E-2</v>
      </c>
      <c r="Y220" s="3">
        <f t="shared" si="10"/>
        <v>2.4424600315312208E-2</v>
      </c>
      <c r="Z220" s="3">
        <f t="shared" si="11"/>
        <v>1.3653347530682737E-3</v>
      </c>
    </row>
    <row r="221" spans="20:26" x14ac:dyDescent="0.25">
      <c r="T221" s="3" t="s">
        <v>752</v>
      </c>
      <c r="U221" s="3" t="s">
        <v>758</v>
      </c>
      <c r="V221" s="3">
        <v>168013.78</v>
      </c>
      <c r="W221" s="3">
        <v>644743.26</v>
      </c>
      <c r="X221" s="3">
        <f t="shared" si="9"/>
        <v>4.1790438300175241E-4</v>
      </c>
      <c r="Y221" s="3">
        <f t="shared" si="10"/>
        <v>1.7387684791827312E-3</v>
      </c>
      <c r="Z221" s="3">
        <f t="shared" si="11"/>
        <v>1.3208640961809787E-3</v>
      </c>
    </row>
    <row r="222" spans="20:26" x14ac:dyDescent="0.25">
      <c r="T222" s="3" t="s">
        <v>691</v>
      </c>
      <c r="U222" s="3" t="s">
        <v>695</v>
      </c>
      <c r="V222" s="3">
        <v>817939.3</v>
      </c>
      <c r="W222" s="3">
        <v>1239331.49</v>
      </c>
      <c r="X222" s="3">
        <f t="shared" si="9"/>
        <v>2.0344784725359151E-3</v>
      </c>
      <c r="Y222" s="3">
        <f t="shared" si="10"/>
        <v>3.3422769399257747E-3</v>
      </c>
      <c r="Z222" s="3">
        <f t="shared" si="11"/>
        <v>1.3077984673898597E-3</v>
      </c>
    </row>
    <row r="223" spans="20:26" x14ac:dyDescent="0.25">
      <c r="T223" s="3" t="s">
        <v>677</v>
      </c>
      <c r="U223" s="3" t="s">
        <v>679</v>
      </c>
      <c r="V223" s="3">
        <v>1027985.18</v>
      </c>
      <c r="W223" s="3">
        <v>1404323.47</v>
      </c>
      <c r="X223" s="3">
        <f t="shared" si="9"/>
        <v>2.5569302255020118E-3</v>
      </c>
      <c r="Y223" s="3">
        <f t="shared" si="10"/>
        <v>3.7872336722256168E-3</v>
      </c>
      <c r="Z223" s="3">
        <f t="shared" si="11"/>
        <v>1.230303446723605E-3</v>
      </c>
    </row>
    <row r="224" spans="20:26" x14ac:dyDescent="0.25">
      <c r="T224" s="3" t="s">
        <v>1480</v>
      </c>
      <c r="U224" s="3" t="s">
        <v>1612</v>
      </c>
      <c r="V224" s="3"/>
      <c r="W224" s="3">
        <v>409090.24</v>
      </c>
      <c r="X224" s="3">
        <f t="shared" si="9"/>
        <v>0</v>
      </c>
      <c r="Y224" s="3">
        <f t="shared" si="10"/>
        <v>1.1032503301442785E-3</v>
      </c>
      <c r="Z224" s="3">
        <f t="shared" si="11"/>
        <v>1.1032503301442785E-3</v>
      </c>
    </row>
    <row r="225" spans="20:26" x14ac:dyDescent="0.25">
      <c r="T225" s="3" t="s">
        <v>328</v>
      </c>
      <c r="U225" s="3" t="s">
        <v>334</v>
      </c>
      <c r="V225" s="3">
        <v>19707512.510000002</v>
      </c>
      <c r="W225" s="3">
        <v>18573468.699999999</v>
      </c>
      <c r="X225" s="3">
        <f t="shared" si="9"/>
        <v>4.9018930804311814E-2</v>
      </c>
      <c r="Y225" s="3">
        <f t="shared" si="10"/>
        <v>5.0089646419331404E-2</v>
      </c>
      <c r="Z225" s="3">
        <f t="shared" si="11"/>
        <v>1.0707156150195907E-3</v>
      </c>
    </row>
    <row r="226" spans="20:26" x14ac:dyDescent="0.25">
      <c r="T226" s="3" t="s">
        <v>1481</v>
      </c>
      <c r="U226" s="3" t="s">
        <v>1613</v>
      </c>
      <c r="V226" s="3"/>
      <c r="W226" s="3">
        <v>390550.39</v>
      </c>
      <c r="X226" s="3">
        <f t="shared" si="9"/>
        <v>0</v>
      </c>
      <c r="Y226" s="3">
        <f t="shared" si="10"/>
        <v>1.0532513479311479E-3</v>
      </c>
      <c r="Z226" s="3">
        <f t="shared" si="11"/>
        <v>1.0532513479311479E-3</v>
      </c>
    </row>
    <row r="227" spans="20:26" x14ac:dyDescent="0.25">
      <c r="T227" s="3" t="s">
        <v>712</v>
      </c>
      <c r="U227" s="3" t="s">
        <v>719</v>
      </c>
      <c r="V227" s="3">
        <v>596560.81999999995</v>
      </c>
      <c r="W227" s="3">
        <v>936728.97</v>
      </c>
      <c r="X227" s="3">
        <f t="shared" si="9"/>
        <v>1.4838388934831385E-3</v>
      </c>
      <c r="Y227" s="3">
        <f t="shared" si="10"/>
        <v>2.5262067983049656E-3</v>
      </c>
      <c r="Z227" s="3">
        <f t="shared" si="11"/>
        <v>1.042367904821827E-3</v>
      </c>
    </row>
    <row r="228" spans="20:26" x14ac:dyDescent="0.25">
      <c r="T228" s="3" t="s">
        <v>582</v>
      </c>
      <c r="U228" s="3" t="s">
        <v>589</v>
      </c>
      <c r="V228" s="3">
        <v>2281849.39</v>
      </c>
      <c r="W228" s="3">
        <v>2447572.98</v>
      </c>
      <c r="X228" s="3">
        <f t="shared" si="9"/>
        <v>5.6756943473974288E-3</v>
      </c>
      <c r="Y228" s="3">
        <f t="shared" si="10"/>
        <v>6.6007091692953023E-3</v>
      </c>
      <c r="Z228" s="3">
        <f t="shared" si="11"/>
        <v>9.2501482189787359E-4</v>
      </c>
    </row>
    <row r="229" spans="20:26" x14ac:dyDescent="0.25">
      <c r="T229" s="3" t="s">
        <v>542</v>
      </c>
      <c r="U229" s="3" t="s">
        <v>545</v>
      </c>
      <c r="V229" s="3">
        <v>3891943.96</v>
      </c>
      <c r="W229" s="3">
        <v>3916042.2</v>
      </c>
      <c r="X229" s="3">
        <f t="shared" si="9"/>
        <v>9.6805181056053673E-3</v>
      </c>
      <c r="Y229" s="3">
        <f t="shared" si="10"/>
        <v>1.0560933573015399E-2</v>
      </c>
      <c r="Z229" s="3">
        <f t="shared" si="11"/>
        <v>8.8041546741003153E-4</v>
      </c>
    </row>
    <row r="230" spans="20:26" x14ac:dyDescent="0.25">
      <c r="T230" s="3">
        <v>90677</v>
      </c>
      <c r="U230" s="3" t="s">
        <v>1614</v>
      </c>
      <c r="V230" s="3"/>
      <c r="W230" s="3">
        <v>314629.93</v>
      </c>
      <c r="X230" s="3">
        <f t="shared" si="9"/>
        <v>0</v>
      </c>
      <c r="Y230" s="3">
        <f t="shared" si="10"/>
        <v>8.4850612457968019E-4</v>
      </c>
      <c r="Z230" s="3">
        <f t="shared" si="11"/>
        <v>8.4850612457968019E-4</v>
      </c>
    </row>
    <row r="231" spans="20:26" x14ac:dyDescent="0.25">
      <c r="T231" s="3" t="s">
        <v>1482</v>
      </c>
      <c r="U231" s="3" t="s">
        <v>1615</v>
      </c>
      <c r="V231" s="3"/>
      <c r="W231" s="3">
        <v>284350.59999999998</v>
      </c>
      <c r="X231" s="3">
        <f t="shared" si="9"/>
        <v>0</v>
      </c>
      <c r="Y231" s="3">
        <f t="shared" si="10"/>
        <v>7.6684766013171977E-4</v>
      </c>
      <c r="Z231" s="3">
        <f t="shared" si="11"/>
        <v>7.6684766013171977E-4</v>
      </c>
    </row>
    <row r="232" spans="20:26" x14ac:dyDescent="0.25">
      <c r="T232" s="3" t="s">
        <v>578</v>
      </c>
      <c r="U232" s="3" t="s">
        <v>585</v>
      </c>
      <c r="V232" s="3">
        <v>2530697.1</v>
      </c>
      <c r="W232" s="3">
        <v>2610744.04</v>
      </c>
      <c r="X232" s="3">
        <f t="shared" si="9"/>
        <v>6.294658748465895E-3</v>
      </c>
      <c r="Y232" s="3">
        <f t="shared" si="10"/>
        <v>7.0407551743405265E-3</v>
      </c>
      <c r="Z232" s="3">
        <f t="shared" si="11"/>
        <v>7.4609642587463148E-4</v>
      </c>
    </row>
    <row r="233" spans="20:26" x14ac:dyDescent="0.25">
      <c r="T233" s="3" t="s">
        <v>859</v>
      </c>
      <c r="U233" s="3" t="s">
        <v>865</v>
      </c>
      <c r="V233" s="3">
        <v>756.38</v>
      </c>
      <c r="W233" s="3">
        <v>267449.07</v>
      </c>
      <c r="X233" s="3">
        <f t="shared" si="9"/>
        <v>1.8813606670528185E-6</v>
      </c>
      <c r="Y233" s="3">
        <f t="shared" si="10"/>
        <v>7.2126696245376147E-4</v>
      </c>
      <c r="Z233" s="3">
        <f t="shared" si="11"/>
        <v>7.1938560178670869E-4</v>
      </c>
    </row>
    <row r="234" spans="20:26" x14ac:dyDescent="0.25">
      <c r="T234" s="3" t="s">
        <v>581</v>
      </c>
      <c r="U234" s="3" t="s">
        <v>588</v>
      </c>
      <c r="V234" s="3">
        <v>2415942.5499999998</v>
      </c>
      <c r="W234" s="3">
        <v>2492364.25</v>
      </c>
      <c r="X234" s="3">
        <f t="shared" si="9"/>
        <v>6.0092272236564777E-3</v>
      </c>
      <c r="Y234" s="3">
        <f t="shared" si="10"/>
        <v>6.7215039929877018E-3</v>
      </c>
      <c r="Z234" s="3">
        <f t="shared" si="11"/>
        <v>7.1227676933122413E-4</v>
      </c>
    </row>
    <row r="235" spans="20:26" x14ac:dyDescent="0.25">
      <c r="T235" s="3" t="s">
        <v>769</v>
      </c>
      <c r="U235" s="3" t="s">
        <v>790</v>
      </c>
      <c r="V235" s="3">
        <v>337726.32</v>
      </c>
      <c r="W235" s="3">
        <v>563198.97</v>
      </c>
      <c r="X235" s="3">
        <f t="shared" si="9"/>
        <v>8.4003412924256806E-4</v>
      </c>
      <c r="Y235" s="3">
        <f t="shared" si="10"/>
        <v>1.5188566942819697E-3</v>
      </c>
      <c r="Z235" s="3">
        <f t="shared" si="11"/>
        <v>6.7882256503940159E-4</v>
      </c>
    </row>
    <row r="236" spans="20:26" x14ac:dyDescent="0.25">
      <c r="T236" s="3" t="s">
        <v>1483</v>
      </c>
      <c r="U236" s="3" t="s">
        <v>1616</v>
      </c>
      <c r="V236" s="3"/>
      <c r="W236" s="3">
        <v>245945.02</v>
      </c>
      <c r="X236" s="3">
        <f t="shared" si="9"/>
        <v>0</v>
      </c>
      <c r="Y236" s="3">
        <f t="shared" si="10"/>
        <v>6.6327401140721712E-4</v>
      </c>
      <c r="Z236" s="3">
        <f t="shared" si="11"/>
        <v>6.6327401140721712E-4</v>
      </c>
    </row>
    <row r="237" spans="20:26" x14ac:dyDescent="0.25">
      <c r="T237" s="3" t="s">
        <v>711</v>
      </c>
      <c r="U237" s="3" t="s">
        <v>718</v>
      </c>
      <c r="V237" s="3">
        <v>773083.79</v>
      </c>
      <c r="W237" s="3">
        <v>951896.97</v>
      </c>
      <c r="X237" s="3">
        <f t="shared" si="9"/>
        <v>1.9229083725668594E-3</v>
      </c>
      <c r="Y237" s="3">
        <f t="shared" si="10"/>
        <v>2.5671124454492936E-3</v>
      </c>
      <c r="Z237" s="3">
        <f t="shared" si="11"/>
        <v>6.4420407288243425E-4</v>
      </c>
    </row>
    <row r="238" spans="20:26" x14ac:dyDescent="0.25">
      <c r="T238" s="3" t="s">
        <v>615</v>
      </c>
      <c r="U238" s="3" t="s">
        <v>628</v>
      </c>
      <c r="V238" s="3">
        <v>1811695.16</v>
      </c>
      <c r="W238" s="3">
        <v>1907849.91</v>
      </c>
      <c r="X238" s="3">
        <f t="shared" si="9"/>
        <v>4.5062693549723191E-3</v>
      </c>
      <c r="Y238" s="3">
        <f t="shared" si="10"/>
        <v>5.1451631871570246E-3</v>
      </c>
      <c r="Z238" s="3">
        <f t="shared" si="11"/>
        <v>6.3889383218470545E-4</v>
      </c>
    </row>
    <row r="239" spans="20:26" x14ac:dyDescent="0.25">
      <c r="T239" s="3" t="s">
        <v>1484</v>
      </c>
      <c r="U239" s="3" t="s">
        <v>1617</v>
      </c>
      <c r="V239" s="3"/>
      <c r="W239" s="3">
        <v>236780.93</v>
      </c>
      <c r="X239" s="3">
        <f t="shared" si="9"/>
        <v>0</v>
      </c>
      <c r="Y239" s="3">
        <f t="shared" si="10"/>
        <v>6.3855994020871614E-4</v>
      </c>
      <c r="Z239" s="3">
        <f t="shared" si="11"/>
        <v>6.3855994020871614E-4</v>
      </c>
    </row>
    <row r="240" spans="20:26" x14ac:dyDescent="0.25">
      <c r="T240" s="3" t="s">
        <v>1485</v>
      </c>
      <c r="U240" s="3" t="s">
        <v>1618</v>
      </c>
      <c r="V240" s="3"/>
      <c r="W240" s="3">
        <v>220987.21</v>
      </c>
      <c r="X240" s="3">
        <f t="shared" si="9"/>
        <v>0</v>
      </c>
      <c r="Y240" s="3">
        <f t="shared" si="10"/>
        <v>5.9596682724614265E-4</v>
      </c>
      <c r="Z240" s="3">
        <f t="shared" si="11"/>
        <v>5.9596682724614265E-4</v>
      </c>
    </row>
    <row r="241" spans="20:26" x14ac:dyDescent="0.25">
      <c r="T241" s="3" t="s">
        <v>706</v>
      </c>
      <c r="U241" s="3" t="s">
        <v>707</v>
      </c>
      <c r="V241" s="3">
        <v>985021.68</v>
      </c>
      <c r="W241" s="3">
        <v>1117690.95</v>
      </c>
      <c r="X241" s="3">
        <f t="shared" si="9"/>
        <v>2.4500661637619821E-3</v>
      </c>
      <c r="Y241" s="3">
        <f t="shared" si="10"/>
        <v>3.0142320422671836E-3</v>
      </c>
      <c r="Z241" s="3">
        <f t="shared" si="11"/>
        <v>5.6416587850520146E-4</v>
      </c>
    </row>
    <row r="242" spans="20:26" x14ac:dyDescent="0.25">
      <c r="T242" s="3" t="s">
        <v>774</v>
      </c>
      <c r="U242" s="3" t="s">
        <v>795</v>
      </c>
      <c r="V242" s="3">
        <v>326463.64</v>
      </c>
      <c r="W242" s="3">
        <v>504301.41</v>
      </c>
      <c r="X242" s="3">
        <f t="shared" si="9"/>
        <v>8.1202021671499935E-4</v>
      </c>
      <c r="Y242" s="3">
        <f t="shared" si="10"/>
        <v>1.3600194839034174E-3</v>
      </c>
      <c r="Z242" s="3">
        <f t="shared" si="11"/>
        <v>5.4799926718841806E-4</v>
      </c>
    </row>
    <row r="243" spans="20:26" x14ac:dyDescent="0.25">
      <c r="T243" s="3" t="s">
        <v>738</v>
      </c>
      <c r="U243" s="3" t="s">
        <v>740</v>
      </c>
      <c r="V243" s="3">
        <v>624546.75</v>
      </c>
      <c r="W243" s="3">
        <v>762102.35</v>
      </c>
      <c r="X243" s="3">
        <f t="shared" si="9"/>
        <v>1.5534489148122238E-3</v>
      </c>
      <c r="Y243" s="3">
        <f t="shared" si="10"/>
        <v>2.0552669974263638E-3</v>
      </c>
      <c r="Z243" s="3">
        <f t="shared" si="11"/>
        <v>5.0181808261413993E-4</v>
      </c>
    </row>
    <row r="244" spans="20:26" x14ac:dyDescent="0.25">
      <c r="T244" s="3" t="s">
        <v>447</v>
      </c>
      <c r="U244" s="3" t="s">
        <v>452</v>
      </c>
      <c r="V244" s="3">
        <v>8041996.9100000001</v>
      </c>
      <c r="W244" s="3">
        <v>7593699.25</v>
      </c>
      <c r="X244" s="3">
        <f t="shared" si="9"/>
        <v>2.0003036398416545E-2</v>
      </c>
      <c r="Y244" s="3">
        <f t="shared" si="10"/>
        <v>2.0478980883481504E-2</v>
      </c>
      <c r="Z244" s="3">
        <f t="shared" si="11"/>
        <v>4.759444850649594E-4</v>
      </c>
    </row>
    <row r="245" spans="20:26" x14ac:dyDescent="0.25">
      <c r="T245" s="3" t="s">
        <v>771</v>
      </c>
      <c r="U245" s="3" t="s">
        <v>792</v>
      </c>
      <c r="V245" s="3">
        <v>399643.05</v>
      </c>
      <c r="W245" s="3">
        <v>523894.99</v>
      </c>
      <c r="X245" s="3">
        <f t="shared" si="9"/>
        <v>9.9404097825302466E-4</v>
      </c>
      <c r="Y245" s="3">
        <f t="shared" si="10"/>
        <v>1.4128602058030852E-3</v>
      </c>
      <c r="Z245" s="3">
        <f t="shared" si="11"/>
        <v>4.1881922755006057E-4</v>
      </c>
    </row>
    <row r="246" spans="20:26" x14ac:dyDescent="0.25">
      <c r="T246" s="3" t="s">
        <v>779</v>
      </c>
      <c r="U246" s="3" t="s">
        <v>800</v>
      </c>
      <c r="V246" s="3">
        <v>343134.09</v>
      </c>
      <c r="W246" s="3">
        <v>469167.35999999999</v>
      </c>
      <c r="X246" s="3">
        <f t="shared" si="9"/>
        <v>8.5348499491123754E-4</v>
      </c>
      <c r="Y246" s="3">
        <f t="shared" si="10"/>
        <v>1.2652686234042631E-3</v>
      </c>
      <c r="Z246" s="3">
        <f t="shared" si="11"/>
        <v>4.1178362849302551E-4</v>
      </c>
    </row>
    <row r="247" spans="20:26" x14ac:dyDescent="0.25">
      <c r="T247" s="3" t="s">
        <v>1486</v>
      </c>
      <c r="U247" s="3" t="s">
        <v>1619</v>
      </c>
      <c r="V247" s="3"/>
      <c r="W247" s="3">
        <v>146629.82</v>
      </c>
      <c r="X247" s="3">
        <f t="shared" si="9"/>
        <v>0</v>
      </c>
      <c r="Y247" s="3">
        <f t="shared" si="10"/>
        <v>3.9543695132887097E-4</v>
      </c>
      <c r="Z247" s="3">
        <f t="shared" si="11"/>
        <v>3.9543695132887097E-4</v>
      </c>
    </row>
    <row r="248" spans="20:26" x14ac:dyDescent="0.25">
      <c r="T248" s="3">
        <v>90685</v>
      </c>
      <c r="U248" s="3" t="s">
        <v>909</v>
      </c>
      <c r="V248" s="3">
        <v>38884.74</v>
      </c>
      <c r="W248" s="3">
        <v>178338.58</v>
      </c>
      <c r="X248" s="3">
        <f t="shared" si="9"/>
        <v>9.6718871975165133E-5</v>
      </c>
      <c r="Y248" s="3">
        <f t="shared" si="10"/>
        <v>4.8095035770704731E-4</v>
      </c>
      <c r="Z248" s="3">
        <f t="shared" si="11"/>
        <v>3.8423148573188219E-4</v>
      </c>
    </row>
    <row r="249" spans="20:26" x14ac:dyDescent="0.25">
      <c r="T249" s="3" t="s">
        <v>775</v>
      </c>
      <c r="U249" s="3" t="s">
        <v>796</v>
      </c>
      <c r="V249" s="3">
        <v>371653.61</v>
      </c>
      <c r="W249" s="3">
        <v>485073.72</v>
      </c>
      <c r="X249" s="3">
        <f t="shared" si="9"/>
        <v>9.2442222642347496E-4</v>
      </c>
      <c r="Y249" s="3">
        <f t="shared" si="10"/>
        <v>1.3081655082612417E-3</v>
      </c>
      <c r="Z249" s="3">
        <f t="shared" si="11"/>
        <v>3.8374328183776675E-4</v>
      </c>
    </row>
    <row r="250" spans="20:26" x14ac:dyDescent="0.25">
      <c r="T250" s="3" t="s">
        <v>900</v>
      </c>
      <c r="U250" s="3" t="s">
        <v>908</v>
      </c>
      <c r="V250" s="3">
        <v>47925.54</v>
      </c>
      <c r="W250" s="3">
        <v>184573.97</v>
      </c>
      <c r="X250" s="3">
        <f t="shared" si="9"/>
        <v>1.1920625334258776E-4</v>
      </c>
      <c r="Y250" s="3">
        <f t="shared" si="10"/>
        <v>4.9776619784070179E-4</v>
      </c>
      <c r="Z250" s="3">
        <f t="shared" si="11"/>
        <v>3.7855994449811404E-4</v>
      </c>
    </row>
    <row r="251" spans="20:26" x14ac:dyDescent="0.25">
      <c r="T251" s="3" t="s">
        <v>701</v>
      </c>
      <c r="U251" s="3" t="s">
        <v>702</v>
      </c>
      <c r="V251" s="3">
        <v>1100549.31</v>
      </c>
      <c r="W251" s="3">
        <v>1154542.0900000001</v>
      </c>
      <c r="X251" s="3">
        <f t="shared" si="9"/>
        <v>2.7374205875170142E-3</v>
      </c>
      <c r="Y251" s="3">
        <f t="shared" si="10"/>
        <v>3.1136136172741874E-3</v>
      </c>
      <c r="Z251" s="3">
        <f t="shared" si="11"/>
        <v>3.7619302975717321E-4</v>
      </c>
    </row>
    <row r="252" spans="20:26" x14ac:dyDescent="0.25">
      <c r="T252" s="3" t="s">
        <v>1487</v>
      </c>
      <c r="U252" s="3" t="s">
        <v>1620</v>
      </c>
      <c r="V252" s="3"/>
      <c r="W252" s="3">
        <v>135504.07999999999</v>
      </c>
      <c r="X252" s="3">
        <f t="shared" si="9"/>
        <v>0</v>
      </c>
      <c r="Y252" s="3">
        <f t="shared" si="10"/>
        <v>3.6543262678644383E-4</v>
      </c>
      <c r="Z252" s="3">
        <f t="shared" si="11"/>
        <v>3.6543262678644383E-4</v>
      </c>
    </row>
    <row r="253" spans="20:26" x14ac:dyDescent="0.25">
      <c r="T253" s="3" t="s">
        <v>1488</v>
      </c>
      <c r="U253" s="3" t="s">
        <v>1621</v>
      </c>
      <c r="V253" s="3"/>
      <c r="W253" s="3">
        <v>121748.92</v>
      </c>
      <c r="X253" s="3">
        <f t="shared" si="9"/>
        <v>0</v>
      </c>
      <c r="Y253" s="3">
        <f t="shared" si="10"/>
        <v>3.2833718102076782E-4</v>
      </c>
      <c r="Z253" s="3">
        <f t="shared" si="11"/>
        <v>3.2833718102076782E-4</v>
      </c>
    </row>
    <row r="254" spans="20:26" x14ac:dyDescent="0.25">
      <c r="T254" s="3">
        <v>90715</v>
      </c>
      <c r="U254" s="3" t="s">
        <v>626</v>
      </c>
      <c r="V254" s="3">
        <v>2090915.13</v>
      </c>
      <c r="W254" s="3">
        <v>2045912.92</v>
      </c>
      <c r="X254" s="3">
        <f t="shared" si="9"/>
        <v>5.200779348644372E-3</v>
      </c>
      <c r="Y254" s="3">
        <f t="shared" si="10"/>
        <v>5.5174968350172448E-3</v>
      </c>
      <c r="Z254" s="3">
        <f t="shared" si="11"/>
        <v>3.1671748637287275E-4</v>
      </c>
    </row>
    <row r="255" spans="20:26" x14ac:dyDescent="0.25">
      <c r="T255" s="3" t="s">
        <v>827</v>
      </c>
      <c r="U255" s="3" t="s">
        <v>837</v>
      </c>
      <c r="V255" s="3">
        <v>277872.28999999998</v>
      </c>
      <c r="W255" s="3">
        <v>370547.5</v>
      </c>
      <c r="X255" s="3">
        <f t="shared" si="9"/>
        <v>6.911578794652082E-4</v>
      </c>
      <c r="Y255" s="3">
        <f t="shared" si="10"/>
        <v>9.9930678304409586E-4</v>
      </c>
      <c r="Z255" s="3">
        <f t="shared" si="11"/>
        <v>3.0814890357888766E-4</v>
      </c>
    </row>
    <row r="256" spans="20:26" x14ac:dyDescent="0.25">
      <c r="T256" s="3" t="s">
        <v>825</v>
      </c>
      <c r="U256" s="3" t="s">
        <v>835</v>
      </c>
      <c r="V256" s="3">
        <v>282889.2</v>
      </c>
      <c r="W256" s="3">
        <v>373358.44</v>
      </c>
      <c r="X256" s="3">
        <f t="shared" si="9"/>
        <v>7.036365504297287E-4</v>
      </c>
      <c r="Y256" s="3">
        <f t="shared" si="10"/>
        <v>1.0068874344011552E-3</v>
      </c>
      <c r="Z256" s="3">
        <f t="shared" si="11"/>
        <v>3.0325088397142647E-4</v>
      </c>
    </row>
    <row r="257" spans="20:26" x14ac:dyDescent="0.25">
      <c r="T257" s="3" t="s">
        <v>753</v>
      </c>
      <c r="U257" s="3" t="s">
        <v>759</v>
      </c>
      <c r="V257" s="3">
        <v>594410.1</v>
      </c>
      <c r="W257" s="3">
        <v>642328.11</v>
      </c>
      <c r="X257" s="3">
        <f t="shared" si="9"/>
        <v>1.4784893601614698E-3</v>
      </c>
      <c r="Y257" s="3">
        <f t="shared" si="10"/>
        <v>1.7322552095558439E-3</v>
      </c>
      <c r="Z257" s="3">
        <f t="shared" si="11"/>
        <v>2.5376584939437404E-4</v>
      </c>
    </row>
    <row r="258" spans="20:26" x14ac:dyDescent="0.25">
      <c r="T258" s="3" t="s">
        <v>1489</v>
      </c>
      <c r="U258" s="3" t="s">
        <v>1622</v>
      </c>
      <c r="V258" s="3"/>
      <c r="W258" s="3">
        <v>83663.28</v>
      </c>
      <c r="X258" s="3">
        <f t="shared" ref="X258:X321" si="12">V258/(R$2*12)</f>
        <v>0</v>
      </c>
      <c r="Y258" s="3">
        <f t="shared" ref="Y258:Y321" si="13">W258/(R$3*12)</f>
        <v>2.2562635882233031E-4</v>
      </c>
      <c r="Z258" s="3">
        <f t="shared" ref="Z258:Z321" si="14">Y258-X258</f>
        <v>2.2562635882233031E-4</v>
      </c>
    </row>
    <row r="259" spans="20:26" x14ac:dyDescent="0.25">
      <c r="T259" s="3" t="s">
        <v>899</v>
      </c>
      <c r="U259" s="3" t="s">
        <v>907</v>
      </c>
      <c r="V259" s="3">
        <v>124555.08</v>
      </c>
      <c r="W259" s="3">
        <v>194747.95</v>
      </c>
      <c r="X259" s="3">
        <f t="shared" si="12"/>
        <v>3.0980859937282471E-4</v>
      </c>
      <c r="Y259" s="3">
        <f t="shared" si="13"/>
        <v>5.2520377932365598E-4</v>
      </c>
      <c r="Z259" s="3">
        <f t="shared" si="14"/>
        <v>2.1539517995083126E-4</v>
      </c>
    </row>
    <row r="260" spans="20:26" x14ac:dyDescent="0.25">
      <c r="T260" s="3" t="s">
        <v>884</v>
      </c>
      <c r="U260" s="3" t="s">
        <v>889</v>
      </c>
      <c r="V260" s="3">
        <v>166076.10999999999</v>
      </c>
      <c r="W260" s="3">
        <v>231726.9</v>
      </c>
      <c r="X260" s="3">
        <f t="shared" si="12"/>
        <v>4.130847736470256E-4</v>
      </c>
      <c r="Y260" s="3">
        <f t="shared" si="13"/>
        <v>6.249300372658859E-4</v>
      </c>
      <c r="Z260" s="3">
        <f t="shared" si="14"/>
        <v>2.118452636188603E-4</v>
      </c>
    </row>
    <row r="261" spans="20:26" x14ac:dyDescent="0.25">
      <c r="T261" s="3" t="s">
        <v>875</v>
      </c>
      <c r="U261" s="3" t="s">
        <v>879</v>
      </c>
      <c r="V261" s="3">
        <v>182787.22</v>
      </c>
      <c r="W261" s="3">
        <v>239571.3</v>
      </c>
      <c r="X261" s="3">
        <f t="shared" si="12"/>
        <v>4.5465068635861639E-4</v>
      </c>
      <c r="Y261" s="3">
        <f t="shared" si="13"/>
        <v>6.4608511759677771E-4</v>
      </c>
      <c r="Z261" s="3">
        <f t="shared" si="14"/>
        <v>1.9143443123816132E-4</v>
      </c>
    </row>
    <row r="262" spans="20:26" x14ac:dyDescent="0.25">
      <c r="T262" s="3" t="s">
        <v>898</v>
      </c>
      <c r="U262" s="3" t="s">
        <v>906</v>
      </c>
      <c r="V262" s="3">
        <v>140086.47</v>
      </c>
      <c r="W262" s="3">
        <v>197767.67</v>
      </c>
      <c r="X262" s="3">
        <f t="shared" si="12"/>
        <v>3.4844016849239093E-4</v>
      </c>
      <c r="Y262" s="3">
        <f t="shared" si="13"/>
        <v>5.3334747663343117E-4</v>
      </c>
      <c r="Z262" s="3">
        <f t="shared" si="14"/>
        <v>1.8490730814104024E-4</v>
      </c>
    </row>
    <row r="263" spans="20:26" x14ac:dyDescent="0.25">
      <c r="T263" s="3" t="s">
        <v>920</v>
      </c>
      <c r="U263" s="3" t="s">
        <v>924</v>
      </c>
      <c r="V263" s="3">
        <v>85894.01</v>
      </c>
      <c r="W263" s="3">
        <v>144819.01</v>
      </c>
      <c r="X263" s="3">
        <f t="shared" si="12"/>
        <v>2.1364606672498142E-4</v>
      </c>
      <c r="Y263" s="3">
        <f t="shared" si="13"/>
        <v>3.9055348911200521E-4</v>
      </c>
      <c r="Z263" s="3">
        <f t="shared" si="14"/>
        <v>1.7690742238702379E-4</v>
      </c>
    </row>
    <row r="264" spans="20:26" x14ac:dyDescent="0.25">
      <c r="T264" s="3" t="s">
        <v>583</v>
      </c>
      <c r="U264" s="3" t="s">
        <v>590</v>
      </c>
      <c r="V264" s="3">
        <v>2528440.9500000002</v>
      </c>
      <c r="W264" s="3">
        <v>2392838.44</v>
      </c>
      <c r="X264" s="3">
        <f t="shared" si="12"/>
        <v>6.2890469767784216E-3</v>
      </c>
      <c r="Y264" s="3">
        <f t="shared" si="13"/>
        <v>6.4530989517420914E-3</v>
      </c>
      <c r="Z264" s="3">
        <f t="shared" si="14"/>
        <v>1.6405197496366982E-4</v>
      </c>
    </row>
    <row r="265" spans="20:26" x14ac:dyDescent="0.25">
      <c r="T265" s="3" t="s">
        <v>988</v>
      </c>
      <c r="U265" s="3" t="s">
        <v>1024</v>
      </c>
      <c r="V265" s="3">
        <v>13429.73</v>
      </c>
      <c r="W265" s="3">
        <v>57396.7</v>
      </c>
      <c r="X265" s="3">
        <f t="shared" si="12"/>
        <v>3.3404063818635137E-5</v>
      </c>
      <c r="Y265" s="3">
        <f t="shared" si="13"/>
        <v>1.5478963327062535E-4</v>
      </c>
      <c r="Z265" s="3">
        <f t="shared" si="14"/>
        <v>1.2138556945199021E-4</v>
      </c>
    </row>
    <row r="266" spans="20:26" x14ac:dyDescent="0.25">
      <c r="T266" s="3" t="s">
        <v>703</v>
      </c>
      <c r="U266" s="3" t="s">
        <v>704</v>
      </c>
      <c r="V266" s="3">
        <v>1177881.47</v>
      </c>
      <c r="W266" s="3">
        <v>1129177.6599999999</v>
      </c>
      <c r="X266" s="3">
        <f t="shared" si="12"/>
        <v>2.9297705757798387E-3</v>
      </c>
      <c r="Y266" s="3">
        <f t="shared" si="13"/>
        <v>3.0452098446214311E-3</v>
      </c>
      <c r="Z266" s="3">
        <f t="shared" si="14"/>
        <v>1.1543926884159238E-4</v>
      </c>
    </row>
    <row r="267" spans="20:26" x14ac:dyDescent="0.25">
      <c r="T267" s="3">
        <v>90377</v>
      </c>
      <c r="U267" s="3" t="s">
        <v>1623</v>
      </c>
      <c r="V267" s="3"/>
      <c r="W267" s="3">
        <v>41097.879999999997</v>
      </c>
      <c r="X267" s="3">
        <f t="shared" si="12"/>
        <v>0</v>
      </c>
      <c r="Y267" s="3">
        <f t="shared" si="13"/>
        <v>1.1083434715584987E-4</v>
      </c>
      <c r="Z267" s="3">
        <f t="shared" si="14"/>
        <v>1.1083434715584987E-4</v>
      </c>
    </row>
    <row r="268" spans="20:26" x14ac:dyDescent="0.25">
      <c r="T268" s="3" t="s">
        <v>1062</v>
      </c>
      <c r="U268" s="3" t="s">
        <v>1067</v>
      </c>
      <c r="V268" s="3">
        <v>1458.26</v>
      </c>
      <c r="W268" s="3">
        <v>40614.339999999997</v>
      </c>
      <c r="X268" s="3">
        <f t="shared" si="12"/>
        <v>3.6271622813089227E-6</v>
      </c>
      <c r="Y268" s="3">
        <f t="shared" si="13"/>
        <v>1.0953031784281135E-4</v>
      </c>
      <c r="Z268" s="3">
        <f t="shared" si="14"/>
        <v>1.0590315556150242E-4</v>
      </c>
    </row>
    <row r="269" spans="20:26" x14ac:dyDescent="0.25">
      <c r="T269" s="3" t="s">
        <v>997</v>
      </c>
      <c r="U269" s="3" t="s">
        <v>1033</v>
      </c>
      <c r="V269" s="3">
        <v>12573.25</v>
      </c>
      <c r="W269" s="3">
        <v>49493.48</v>
      </c>
      <c r="X269" s="3">
        <f t="shared" si="12"/>
        <v>3.1273722212408906E-5</v>
      </c>
      <c r="Y269" s="3">
        <f t="shared" si="13"/>
        <v>1.3347592489615311E-4</v>
      </c>
      <c r="Z269" s="3">
        <f t="shared" si="14"/>
        <v>1.022022026837442E-4</v>
      </c>
    </row>
    <row r="270" spans="20:26" x14ac:dyDescent="0.25">
      <c r="T270" s="3" t="s">
        <v>976</v>
      </c>
      <c r="U270" s="3" t="s">
        <v>1011</v>
      </c>
      <c r="V270" s="3">
        <v>38084.9</v>
      </c>
      <c r="W270" s="3">
        <v>72750.38</v>
      </c>
      <c r="X270" s="3">
        <f t="shared" si="12"/>
        <v>9.4729412290964709E-5</v>
      </c>
      <c r="Y270" s="3">
        <f t="shared" si="13"/>
        <v>1.9619602939713676E-4</v>
      </c>
      <c r="Z270" s="3">
        <f t="shared" si="14"/>
        <v>1.0146661710617205E-4</v>
      </c>
    </row>
    <row r="271" spans="20:26" x14ac:dyDescent="0.25">
      <c r="T271" s="3" t="s">
        <v>903</v>
      </c>
      <c r="U271" s="3" t="s">
        <v>912</v>
      </c>
      <c r="V271" s="3">
        <v>122502.48</v>
      </c>
      <c r="W271" s="3">
        <v>150086.75</v>
      </c>
      <c r="X271" s="3">
        <f t="shared" si="12"/>
        <v>3.0470312209263139E-4</v>
      </c>
      <c r="Y271" s="3">
        <f t="shared" si="13"/>
        <v>4.0475973342160842E-4</v>
      </c>
      <c r="Z271" s="3">
        <f t="shared" si="14"/>
        <v>1.0005661132897703E-4</v>
      </c>
    </row>
    <row r="272" spans="20:26" x14ac:dyDescent="0.25">
      <c r="T272" s="3" t="s">
        <v>1490</v>
      </c>
      <c r="U272" s="3" t="s">
        <v>1624</v>
      </c>
      <c r="V272" s="3"/>
      <c r="W272" s="3">
        <v>35885.78</v>
      </c>
      <c r="X272" s="3">
        <f t="shared" si="12"/>
        <v>0</v>
      </c>
      <c r="Y272" s="3">
        <f t="shared" si="13"/>
        <v>9.6778154943234405E-5</v>
      </c>
      <c r="Z272" s="3">
        <f t="shared" si="14"/>
        <v>9.6778154943234405E-5</v>
      </c>
    </row>
    <row r="273" spans="20:26" x14ac:dyDescent="0.25">
      <c r="T273" s="3" t="s">
        <v>876</v>
      </c>
      <c r="U273" s="3" t="s">
        <v>880</v>
      </c>
      <c r="V273" s="3">
        <v>223929.8</v>
      </c>
      <c r="W273" s="3">
        <v>237097.31</v>
      </c>
      <c r="X273" s="3">
        <f t="shared" si="12"/>
        <v>5.569855335955528E-4</v>
      </c>
      <c r="Y273" s="3">
        <f t="shared" si="13"/>
        <v>6.3941316598953909E-4</v>
      </c>
      <c r="Z273" s="3">
        <f t="shared" si="14"/>
        <v>8.2427632393986287E-5</v>
      </c>
    </row>
    <row r="274" spans="20:26" x14ac:dyDescent="0.25">
      <c r="T274" s="3" t="s">
        <v>1065</v>
      </c>
      <c r="U274" s="3" t="s">
        <v>1070</v>
      </c>
      <c r="V274" s="3">
        <v>12132.62</v>
      </c>
      <c r="W274" s="3">
        <v>39529.129999999997</v>
      </c>
      <c r="X274" s="3">
        <f t="shared" si="12"/>
        <v>3.0177733488852649E-5</v>
      </c>
      <c r="Y274" s="3">
        <f t="shared" si="13"/>
        <v>1.0660368167868318E-4</v>
      </c>
      <c r="Z274" s="3">
        <f t="shared" si="14"/>
        <v>7.6425948189830527E-5</v>
      </c>
    </row>
    <row r="275" spans="20:26" x14ac:dyDescent="0.25">
      <c r="T275" s="3" t="s">
        <v>1491</v>
      </c>
      <c r="U275" s="3" t="s">
        <v>1625</v>
      </c>
      <c r="V275" s="3"/>
      <c r="W275" s="3">
        <v>28038.69</v>
      </c>
      <c r="X275" s="3">
        <f t="shared" si="12"/>
        <v>0</v>
      </c>
      <c r="Y275" s="3">
        <f t="shared" si="13"/>
        <v>7.5615820116639991E-5</v>
      </c>
      <c r="Z275" s="3">
        <f t="shared" si="14"/>
        <v>7.5615820116639991E-5</v>
      </c>
    </row>
    <row r="276" spans="20:26" x14ac:dyDescent="0.25">
      <c r="T276" s="3" t="s">
        <v>690</v>
      </c>
      <c r="U276" s="3" t="s">
        <v>694</v>
      </c>
      <c r="V276" s="3">
        <v>1380892.64</v>
      </c>
      <c r="W276" s="3">
        <v>1296061.25</v>
      </c>
      <c r="X276" s="3">
        <f t="shared" si="12"/>
        <v>3.4347247393092459E-3</v>
      </c>
      <c r="Y276" s="3">
        <f t="shared" si="13"/>
        <v>3.4952679436930745E-3</v>
      </c>
      <c r="Z276" s="3">
        <f t="shared" si="14"/>
        <v>6.054320438382858E-5</v>
      </c>
    </row>
    <row r="277" spans="20:26" x14ac:dyDescent="0.25">
      <c r="T277" s="3" t="s">
        <v>982</v>
      </c>
      <c r="U277" s="3" t="s">
        <v>1017</v>
      </c>
      <c r="V277" s="3">
        <v>50063.25</v>
      </c>
      <c r="W277" s="3">
        <v>66503.03</v>
      </c>
      <c r="X277" s="3">
        <f t="shared" si="12"/>
        <v>1.2452342660413022E-4</v>
      </c>
      <c r="Y277" s="3">
        <f t="shared" si="13"/>
        <v>1.7934793507441013E-4</v>
      </c>
      <c r="Z277" s="3">
        <f t="shared" si="14"/>
        <v>5.4824508470279908E-5</v>
      </c>
    </row>
    <row r="278" spans="20:26" x14ac:dyDescent="0.25">
      <c r="T278" s="3" t="s">
        <v>1493</v>
      </c>
      <c r="U278" s="3" t="s">
        <v>1627</v>
      </c>
      <c r="V278" s="3"/>
      <c r="W278" s="3">
        <v>19918.580000000002</v>
      </c>
      <c r="X278" s="3">
        <f t="shared" si="12"/>
        <v>0</v>
      </c>
      <c r="Y278" s="3">
        <f t="shared" si="13"/>
        <v>5.371719442880189E-5</v>
      </c>
      <c r="Z278" s="3">
        <f t="shared" si="14"/>
        <v>5.371719442880189E-5</v>
      </c>
    </row>
    <row r="279" spans="20:26" x14ac:dyDescent="0.25">
      <c r="T279" s="3" t="s">
        <v>1064</v>
      </c>
      <c r="U279" s="3" t="s">
        <v>1069</v>
      </c>
      <c r="V279" s="3">
        <v>23190.41</v>
      </c>
      <c r="W279" s="3">
        <v>40586.92</v>
      </c>
      <c r="X279" s="3">
        <f t="shared" si="12"/>
        <v>5.7682018597567823E-5</v>
      </c>
      <c r="Y279" s="3">
        <f t="shared" si="13"/>
        <v>1.0945637052973794E-4</v>
      </c>
      <c r="Z279" s="3">
        <f t="shared" si="14"/>
        <v>5.1774351932170122E-5</v>
      </c>
    </row>
    <row r="280" spans="20:26" x14ac:dyDescent="0.25">
      <c r="T280" s="3" t="s">
        <v>977</v>
      </c>
      <c r="U280" s="3" t="s">
        <v>1012</v>
      </c>
      <c r="V280" s="3">
        <v>58035.06</v>
      </c>
      <c r="W280" s="3">
        <v>72346.210000000006</v>
      </c>
      <c r="X280" s="3">
        <f t="shared" si="12"/>
        <v>1.443518855523022E-4</v>
      </c>
      <c r="Y280" s="3">
        <f t="shared" si="13"/>
        <v>1.9510604815990555E-4</v>
      </c>
      <c r="Z280" s="3">
        <f t="shared" si="14"/>
        <v>5.0754162607603349E-5</v>
      </c>
    </row>
    <row r="281" spans="20:26" x14ac:dyDescent="0.25">
      <c r="T281" s="3" t="s">
        <v>998</v>
      </c>
      <c r="U281" s="3" t="s">
        <v>1034</v>
      </c>
      <c r="V281" s="3">
        <v>31979.48</v>
      </c>
      <c r="W281" s="3">
        <v>47649.77</v>
      </c>
      <c r="X281" s="3">
        <f t="shared" si="12"/>
        <v>7.9543266380393797E-5</v>
      </c>
      <c r="Y281" s="3">
        <f t="shared" si="13"/>
        <v>1.2850373669095341E-4</v>
      </c>
      <c r="Z281" s="3">
        <f t="shared" si="14"/>
        <v>4.8960470310559613E-5</v>
      </c>
    </row>
    <row r="282" spans="20:26" x14ac:dyDescent="0.25">
      <c r="T282" s="3" t="s">
        <v>1492</v>
      </c>
      <c r="U282" s="3" t="s">
        <v>1626</v>
      </c>
      <c r="V282" s="3">
        <v>11058.05</v>
      </c>
      <c r="W282" s="3">
        <v>23244.98</v>
      </c>
      <c r="X282" s="3">
        <f t="shared" si="12"/>
        <v>2.7504931812453288E-5</v>
      </c>
      <c r="Y282" s="3">
        <f t="shared" si="13"/>
        <v>6.2687958185453539E-5</v>
      </c>
      <c r="Z282" s="3">
        <f t="shared" si="14"/>
        <v>3.5183026373000252E-5</v>
      </c>
    </row>
    <row r="283" spans="20:26" x14ac:dyDescent="0.25">
      <c r="T283" s="3" t="s">
        <v>1130</v>
      </c>
      <c r="U283" s="3" t="s">
        <v>1158</v>
      </c>
      <c r="V283" s="3">
        <v>635.36</v>
      </c>
      <c r="W283" s="3">
        <v>13156.8</v>
      </c>
      <c r="X283" s="3">
        <f t="shared" si="12"/>
        <v>1.5803449501820233E-6</v>
      </c>
      <c r="Y283" s="3">
        <f t="shared" si="13"/>
        <v>3.5481765450190755E-5</v>
      </c>
      <c r="Z283" s="3">
        <f t="shared" si="14"/>
        <v>3.3901420500008734E-5</v>
      </c>
    </row>
    <row r="284" spans="20:26" x14ac:dyDescent="0.25">
      <c r="T284" s="3" t="s">
        <v>1089</v>
      </c>
      <c r="U284" s="3" t="s">
        <v>1095</v>
      </c>
      <c r="V284" s="3">
        <v>16283.15</v>
      </c>
      <c r="W284" s="3">
        <v>27500.98</v>
      </c>
      <c r="X284" s="3">
        <f t="shared" si="12"/>
        <v>4.0501438358657157E-5</v>
      </c>
      <c r="Y284" s="3">
        <f t="shared" si="13"/>
        <v>7.4165703059283946E-5</v>
      </c>
      <c r="Z284" s="3">
        <f t="shared" si="14"/>
        <v>3.3664264700626789E-5</v>
      </c>
    </row>
    <row r="285" spans="20:26" x14ac:dyDescent="0.25">
      <c r="T285" s="3" t="s">
        <v>1066</v>
      </c>
      <c r="U285" s="3" t="s">
        <v>1071</v>
      </c>
      <c r="V285" s="3">
        <v>26822.84</v>
      </c>
      <c r="W285" s="3">
        <v>36637.919999999998</v>
      </c>
      <c r="X285" s="3">
        <f t="shared" si="12"/>
        <v>6.671704190307917E-5</v>
      </c>
      <c r="Y285" s="3">
        <f t="shared" si="13"/>
        <v>9.8806555091120397E-5</v>
      </c>
      <c r="Z285" s="3">
        <f t="shared" si="14"/>
        <v>3.2089513188041227E-5</v>
      </c>
    </row>
    <row r="286" spans="20:26" x14ac:dyDescent="0.25">
      <c r="T286" s="3" t="s">
        <v>1126</v>
      </c>
      <c r="U286" s="3" t="s">
        <v>1153</v>
      </c>
      <c r="V286" s="3">
        <v>2722.4</v>
      </c>
      <c r="W286" s="3">
        <v>14219.29</v>
      </c>
      <c r="X286" s="3">
        <f t="shared" si="12"/>
        <v>6.7714856024545776E-6</v>
      </c>
      <c r="Y286" s="3">
        <f t="shared" si="13"/>
        <v>3.8347129442436076E-5</v>
      </c>
      <c r="Z286" s="3">
        <f t="shared" si="14"/>
        <v>3.15756438399815E-5</v>
      </c>
    </row>
    <row r="287" spans="20:26" x14ac:dyDescent="0.25">
      <c r="T287" s="3" t="s">
        <v>948</v>
      </c>
      <c r="U287" s="3" t="s">
        <v>959</v>
      </c>
      <c r="V287" s="3">
        <v>94682.86</v>
      </c>
      <c r="W287" s="3">
        <v>98994.34</v>
      </c>
      <c r="X287" s="3">
        <f t="shared" si="12"/>
        <v>2.355067672969521E-4</v>
      </c>
      <c r="Y287" s="3">
        <f t="shared" si="13"/>
        <v>2.6697175246081394E-4</v>
      </c>
      <c r="Z287" s="3">
        <f t="shared" si="14"/>
        <v>3.1464985163861847E-5</v>
      </c>
    </row>
    <row r="288" spans="20:26" x14ac:dyDescent="0.25">
      <c r="T288" s="3" t="s">
        <v>1091</v>
      </c>
      <c r="U288" s="3" t="s">
        <v>1097</v>
      </c>
      <c r="V288" s="3">
        <v>16151.93</v>
      </c>
      <c r="W288" s="3">
        <v>25977.37</v>
      </c>
      <c r="X288" s="3">
        <f t="shared" si="12"/>
        <v>4.0175051956675786E-5</v>
      </c>
      <c r="Y288" s="3">
        <f t="shared" si="13"/>
        <v>7.00567728743176E-5</v>
      </c>
      <c r="Z288" s="3">
        <f t="shared" si="14"/>
        <v>2.9881720917641814E-5</v>
      </c>
    </row>
    <row r="289" spans="20:26" x14ac:dyDescent="0.25">
      <c r="T289" s="3" t="s">
        <v>975</v>
      </c>
      <c r="U289" s="3" t="s">
        <v>1010</v>
      </c>
      <c r="V289" s="3">
        <v>69891.399999999994</v>
      </c>
      <c r="W289" s="3">
        <v>74982.25</v>
      </c>
      <c r="X289" s="3">
        <f t="shared" si="12"/>
        <v>1.7384242169974794E-4</v>
      </c>
      <c r="Y289" s="3">
        <f t="shared" si="13"/>
        <v>2.0221502245436321E-4</v>
      </c>
      <c r="Z289" s="3">
        <f t="shared" si="14"/>
        <v>2.8372600754615276E-5</v>
      </c>
    </row>
    <row r="290" spans="20:26" x14ac:dyDescent="0.25">
      <c r="T290" s="3" t="s">
        <v>1075</v>
      </c>
      <c r="U290" s="3" t="s">
        <v>1081</v>
      </c>
      <c r="V290" s="3">
        <v>26636.73</v>
      </c>
      <c r="W290" s="3">
        <v>34538.04</v>
      </c>
      <c r="X290" s="3">
        <f t="shared" si="12"/>
        <v>6.6254126392693911E-5</v>
      </c>
      <c r="Y290" s="3">
        <f t="shared" si="13"/>
        <v>9.3143517754264442E-5</v>
      </c>
      <c r="Z290" s="3">
        <f t="shared" si="14"/>
        <v>2.6889391361570531E-5</v>
      </c>
    </row>
    <row r="291" spans="20:26" x14ac:dyDescent="0.25">
      <c r="T291" s="3" t="s">
        <v>901</v>
      </c>
      <c r="U291" s="3" t="s">
        <v>910</v>
      </c>
      <c r="V291" s="3">
        <v>162222.1</v>
      </c>
      <c r="W291" s="3">
        <v>158292.28</v>
      </c>
      <c r="X291" s="3">
        <f t="shared" si="12"/>
        <v>4.0349860951731804E-4</v>
      </c>
      <c r="Y291" s="3">
        <f t="shared" si="13"/>
        <v>4.2688872305848846E-4</v>
      </c>
      <c r="Z291" s="3">
        <f t="shared" si="14"/>
        <v>2.3390113541170421E-5</v>
      </c>
    </row>
    <row r="292" spans="20:26" x14ac:dyDescent="0.25">
      <c r="T292" s="3" t="s">
        <v>1494</v>
      </c>
      <c r="U292" s="3" t="s">
        <v>1628</v>
      </c>
      <c r="V292" s="3"/>
      <c r="W292" s="3">
        <v>8379.7000000000007</v>
      </c>
      <c r="X292" s="3">
        <f t="shared" si="12"/>
        <v>0</v>
      </c>
      <c r="Y292" s="3">
        <f t="shared" si="13"/>
        <v>2.2598698007339438E-5</v>
      </c>
      <c r="Z292" s="3">
        <f t="shared" si="14"/>
        <v>2.2598698007339438E-5</v>
      </c>
    </row>
    <row r="293" spans="20:26" x14ac:dyDescent="0.25">
      <c r="T293" s="3" t="s">
        <v>785</v>
      </c>
      <c r="U293" s="3" t="s">
        <v>806</v>
      </c>
      <c r="V293" s="3">
        <v>470398.81</v>
      </c>
      <c r="W293" s="3">
        <v>441253.74</v>
      </c>
      <c r="X293" s="3">
        <f t="shared" si="12"/>
        <v>1.1700333416569079E-3</v>
      </c>
      <c r="Y293" s="3">
        <f t="shared" si="13"/>
        <v>1.1899900968852194E-3</v>
      </c>
      <c r="Z293" s="3">
        <f t="shared" si="14"/>
        <v>1.9956755228311539E-5</v>
      </c>
    </row>
    <row r="294" spans="20:26" x14ac:dyDescent="0.25">
      <c r="T294" s="3" t="s">
        <v>1137</v>
      </c>
      <c r="U294" s="3" t="s">
        <v>1166</v>
      </c>
      <c r="V294" s="3">
        <v>2962.35</v>
      </c>
      <c r="W294" s="3">
        <v>9646.83</v>
      </c>
      <c r="X294" s="3">
        <f t="shared" si="12"/>
        <v>7.3683185330705685E-6</v>
      </c>
      <c r="Y294" s="3">
        <f t="shared" si="13"/>
        <v>2.6015943040698626E-5</v>
      </c>
      <c r="Z294" s="3">
        <f t="shared" si="14"/>
        <v>1.8647624507628058E-5</v>
      </c>
    </row>
    <row r="295" spans="20:26" x14ac:dyDescent="0.25">
      <c r="T295" s="3" t="s">
        <v>886</v>
      </c>
      <c r="U295" s="3" t="s">
        <v>891</v>
      </c>
      <c r="V295" s="3">
        <v>240468.15</v>
      </c>
      <c r="W295" s="3">
        <v>228680.09</v>
      </c>
      <c r="X295" s="3">
        <f t="shared" si="12"/>
        <v>5.9812173654638829E-4</v>
      </c>
      <c r="Y295" s="3">
        <f t="shared" si="13"/>
        <v>6.1671328259975931E-4</v>
      </c>
      <c r="Z295" s="3">
        <f t="shared" si="14"/>
        <v>1.8591546053371016E-5</v>
      </c>
    </row>
    <row r="296" spans="20:26" x14ac:dyDescent="0.25">
      <c r="T296" s="3">
        <v>90672</v>
      </c>
      <c r="U296" s="3" t="s">
        <v>1157</v>
      </c>
      <c r="V296" s="3">
        <v>7756.99</v>
      </c>
      <c r="W296" s="3">
        <v>13316.69</v>
      </c>
      <c r="X296" s="3">
        <f t="shared" si="12"/>
        <v>1.9294132421166665E-5</v>
      </c>
      <c r="Y296" s="3">
        <f t="shared" si="13"/>
        <v>3.591296296613924E-5</v>
      </c>
      <c r="Z296" s="3">
        <f t="shared" si="14"/>
        <v>1.6618830544972575E-5</v>
      </c>
    </row>
    <row r="297" spans="20:26" x14ac:dyDescent="0.25">
      <c r="T297" s="3">
        <v>90687</v>
      </c>
      <c r="U297" s="3" t="s">
        <v>1161</v>
      </c>
      <c r="V297" s="3">
        <v>7196.53</v>
      </c>
      <c r="W297" s="3">
        <v>12164.48</v>
      </c>
      <c r="X297" s="3">
        <f t="shared" si="12"/>
        <v>1.7900087894002509E-5</v>
      </c>
      <c r="Y297" s="3">
        <f t="shared" si="13"/>
        <v>3.2805638619081874E-5</v>
      </c>
      <c r="Z297" s="3">
        <f t="shared" si="14"/>
        <v>1.4905550725079364E-5</v>
      </c>
    </row>
    <row r="298" spans="20:26" x14ac:dyDescent="0.25">
      <c r="T298" s="3" t="s">
        <v>1495</v>
      </c>
      <c r="U298" s="3" t="s">
        <v>1629</v>
      </c>
      <c r="V298" s="3"/>
      <c r="W298" s="3">
        <v>5480.66</v>
      </c>
      <c r="X298" s="3">
        <f t="shared" si="12"/>
        <v>0</v>
      </c>
      <c r="Y298" s="3">
        <f t="shared" si="13"/>
        <v>1.4780455173920898E-5</v>
      </c>
      <c r="Z298" s="3">
        <f t="shared" si="14"/>
        <v>1.4780455173920898E-5</v>
      </c>
    </row>
    <row r="299" spans="20:26" x14ac:dyDescent="0.25">
      <c r="T299" s="3" t="s">
        <v>995</v>
      </c>
      <c r="U299" s="3" t="s">
        <v>1031</v>
      </c>
      <c r="V299" s="3">
        <v>49687.519999999997</v>
      </c>
      <c r="W299" s="3">
        <v>50174.89</v>
      </c>
      <c r="X299" s="3">
        <f t="shared" si="12"/>
        <v>1.2358886508289518E-4</v>
      </c>
      <c r="Y299" s="3">
        <f t="shared" si="13"/>
        <v>1.3531357765331401E-4</v>
      </c>
      <c r="Z299" s="3">
        <f t="shared" si="14"/>
        <v>1.1724712570418833E-5</v>
      </c>
    </row>
    <row r="300" spans="20:26" x14ac:dyDescent="0.25">
      <c r="T300" s="3" t="s">
        <v>1496</v>
      </c>
      <c r="U300" s="3" t="s">
        <v>1630</v>
      </c>
      <c r="V300" s="3"/>
      <c r="W300" s="3">
        <v>3912.7</v>
      </c>
      <c r="X300" s="3">
        <f t="shared" si="12"/>
        <v>0</v>
      </c>
      <c r="Y300" s="3">
        <f t="shared" si="13"/>
        <v>1.0551920199209638E-5</v>
      </c>
      <c r="Z300" s="3">
        <f t="shared" si="14"/>
        <v>1.0551920199209638E-5</v>
      </c>
    </row>
    <row r="301" spans="20:26" x14ac:dyDescent="0.25">
      <c r="T301" s="3" t="s">
        <v>1198</v>
      </c>
      <c r="U301" s="3" t="s">
        <v>1213</v>
      </c>
      <c r="V301" s="3">
        <v>4566.5200000000004</v>
      </c>
      <c r="W301" s="3">
        <v>7250.86</v>
      </c>
      <c r="X301" s="3">
        <f t="shared" si="12"/>
        <v>1.1358405977564236E-5</v>
      </c>
      <c r="Y301" s="3">
        <f t="shared" si="13"/>
        <v>1.9554398777223197E-5</v>
      </c>
      <c r="Z301" s="3">
        <f t="shared" si="14"/>
        <v>8.1959927996589609E-6</v>
      </c>
    </row>
    <row r="302" spans="20:26" x14ac:dyDescent="0.25">
      <c r="T302" s="3" t="s">
        <v>1133</v>
      </c>
      <c r="U302" s="3" t="s">
        <v>1162</v>
      </c>
      <c r="V302" s="3">
        <v>9369.0400000000009</v>
      </c>
      <c r="W302" s="3">
        <v>11369.74</v>
      </c>
      <c r="X302" s="3">
        <f t="shared" si="12"/>
        <v>2.3303819963569289E-5</v>
      </c>
      <c r="Y302" s="3">
        <f t="shared" si="13"/>
        <v>3.0662353148915532E-5</v>
      </c>
      <c r="Z302" s="3">
        <f t="shared" si="14"/>
        <v>7.3585331853462429E-6</v>
      </c>
    </row>
    <row r="303" spans="20:26" x14ac:dyDescent="0.25">
      <c r="T303" s="3" t="s">
        <v>1205</v>
      </c>
      <c r="U303" s="3" t="s">
        <v>1221</v>
      </c>
      <c r="V303" s="3">
        <v>3729.89</v>
      </c>
      <c r="W303" s="3">
        <v>5948.05</v>
      </c>
      <c r="X303" s="3">
        <f t="shared" si="12"/>
        <v>9.2774377144208421E-6</v>
      </c>
      <c r="Y303" s="3">
        <f t="shared" si="13"/>
        <v>1.6040930544357832E-5</v>
      </c>
      <c r="Z303" s="3">
        <f t="shared" si="14"/>
        <v>6.7634928299369902E-6</v>
      </c>
    </row>
    <row r="304" spans="20:26" x14ac:dyDescent="0.25">
      <c r="T304" s="3" t="s">
        <v>1138</v>
      </c>
      <c r="U304" s="3" t="s">
        <v>1167</v>
      </c>
      <c r="V304" s="3">
        <v>7873.2</v>
      </c>
      <c r="W304" s="3">
        <v>9350.48</v>
      </c>
      <c r="X304" s="3">
        <f t="shared" si="12"/>
        <v>1.9583184118882374E-5</v>
      </c>
      <c r="Y304" s="3">
        <f t="shared" si="13"/>
        <v>2.5216734936055854E-5</v>
      </c>
      <c r="Z304" s="3">
        <f t="shared" si="14"/>
        <v>5.6335508171734803E-6</v>
      </c>
    </row>
    <row r="305" spans="20:26" x14ac:dyDescent="0.25">
      <c r="T305" s="3" t="s">
        <v>1141</v>
      </c>
      <c r="U305" s="3" t="s">
        <v>1170</v>
      </c>
      <c r="V305" s="3">
        <v>7207.09</v>
      </c>
      <c r="W305" s="3">
        <v>8710.75</v>
      </c>
      <c r="X305" s="3">
        <f t="shared" si="12"/>
        <v>1.7926354015058168E-5</v>
      </c>
      <c r="Y305" s="3">
        <f t="shared" si="13"/>
        <v>2.3491486409708222E-5</v>
      </c>
      <c r="Z305" s="3">
        <f t="shared" si="14"/>
        <v>5.5651323946500544E-6</v>
      </c>
    </row>
    <row r="306" spans="20:26" x14ac:dyDescent="0.25">
      <c r="T306" s="3" t="s">
        <v>776</v>
      </c>
      <c r="U306" s="3" t="s">
        <v>797</v>
      </c>
      <c r="V306" s="3">
        <v>523010.74</v>
      </c>
      <c r="W306" s="3">
        <v>484209.39</v>
      </c>
      <c r="X306" s="3">
        <f t="shared" si="12"/>
        <v>1.3008961562735505E-3</v>
      </c>
      <c r="Y306" s="3">
        <f t="shared" si="13"/>
        <v>1.3058345497962986E-3</v>
      </c>
      <c r="Z306" s="3">
        <f t="shared" si="14"/>
        <v>4.9383935227481461E-6</v>
      </c>
    </row>
    <row r="307" spans="20:26" x14ac:dyDescent="0.25">
      <c r="T307" s="3" t="s">
        <v>1119</v>
      </c>
      <c r="U307" s="3" t="s">
        <v>1146</v>
      </c>
      <c r="V307" s="3">
        <v>17141.419999999998</v>
      </c>
      <c r="W307" s="3">
        <v>17583.919999999998</v>
      </c>
      <c r="X307" s="3">
        <f t="shared" si="12"/>
        <v>4.2636232271388087E-5</v>
      </c>
      <c r="Y307" s="3">
        <f t="shared" si="13"/>
        <v>4.7420993336899413E-5</v>
      </c>
      <c r="Z307" s="3">
        <f t="shared" si="14"/>
        <v>4.7847610655113259E-6</v>
      </c>
    </row>
    <row r="308" spans="20:26" x14ac:dyDescent="0.25">
      <c r="T308" s="3" t="s">
        <v>887</v>
      </c>
      <c r="U308" s="3" t="s">
        <v>892</v>
      </c>
      <c r="V308" s="3">
        <v>242735.68</v>
      </c>
      <c r="W308" s="3">
        <v>225467.16</v>
      </c>
      <c r="X308" s="3">
        <f t="shared" si="12"/>
        <v>6.0376181395901463E-4</v>
      </c>
      <c r="Y308" s="3">
        <f t="shared" si="13"/>
        <v>6.080485291135102E-4</v>
      </c>
      <c r="Z308" s="3">
        <f t="shared" si="14"/>
        <v>4.2867151544955656E-6</v>
      </c>
    </row>
    <row r="309" spans="20:26" x14ac:dyDescent="0.25">
      <c r="T309" s="3" t="s">
        <v>1232</v>
      </c>
      <c r="U309" s="3" t="s">
        <v>1258</v>
      </c>
      <c r="V309" s="3">
        <v>1982.9</v>
      </c>
      <c r="W309" s="3">
        <v>3403.91</v>
      </c>
      <c r="X309" s="3">
        <f t="shared" si="12"/>
        <v>4.9321109319376948E-6</v>
      </c>
      <c r="Y309" s="3">
        <f t="shared" si="13"/>
        <v>9.1797957127537707E-6</v>
      </c>
      <c r="Z309" s="3">
        <f t="shared" si="14"/>
        <v>4.2476847808160759E-6</v>
      </c>
    </row>
    <row r="310" spans="20:26" x14ac:dyDescent="0.25">
      <c r="T310" s="3" t="s">
        <v>1240</v>
      </c>
      <c r="U310" s="3" t="s">
        <v>1265</v>
      </c>
      <c r="V310" s="3">
        <v>625.49</v>
      </c>
      <c r="W310" s="3">
        <v>1915.76</v>
      </c>
      <c r="X310" s="3">
        <f t="shared" si="12"/>
        <v>1.5557950813544348E-6</v>
      </c>
      <c r="Y310" s="3">
        <f t="shared" si="13"/>
        <v>5.1664954228123437E-6</v>
      </c>
      <c r="Z310" s="3">
        <f t="shared" si="14"/>
        <v>3.6107003414579088E-6</v>
      </c>
    </row>
    <row r="311" spans="20:26" x14ac:dyDescent="0.25">
      <c r="T311" s="3" t="s">
        <v>989</v>
      </c>
      <c r="U311" s="3" t="s">
        <v>1025</v>
      </c>
      <c r="V311" s="3">
        <v>59334.78</v>
      </c>
      <c r="W311" s="3">
        <v>55958.57</v>
      </c>
      <c r="X311" s="3">
        <f t="shared" si="12"/>
        <v>1.4758470779268652E-4</v>
      </c>
      <c r="Y311" s="3">
        <f t="shared" si="13"/>
        <v>1.5091122884501406E-4</v>
      </c>
      <c r="Z311" s="3">
        <f t="shared" si="14"/>
        <v>3.3265210523275341E-6</v>
      </c>
    </row>
    <row r="312" spans="20:26" x14ac:dyDescent="0.25">
      <c r="T312" s="3" t="s">
        <v>1120</v>
      </c>
      <c r="U312" s="3" t="s">
        <v>1147</v>
      </c>
      <c r="V312" s="3">
        <v>17833.150000000001</v>
      </c>
      <c r="W312" s="3">
        <v>17491.8</v>
      </c>
      <c r="X312" s="3">
        <f t="shared" si="12"/>
        <v>4.4356787566637103E-5</v>
      </c>
      <c r="Y312" s="3">
        <f t="shared" si="13"/>
        <v>4.7172560569564531E-5</v>
      </c>
      <c r="Z312" s="3">
        <f t="shared" si="14"/>
        <v>2.8157730029274277E-6</v>
      </c>
    </row>
    <row r="313" spans="20:26" x14ac:dyDescent="0.25">
      <c r="T313" s="3" t="s">
        <v>1228</v>
      </c>
      <c r="U313" s="3" t="s">
        <v>1230</v>
      </c>
      <c r="V313" s="3">
        <v>3391.54</v>
      </c>
      <c r="W313" s="3">
        <v>3959.94</v>
      </c>
      <c r="X313" s="3">
        <f t="shared" si="12"/>
        <v>8.4358522921498665E-6</v>
      </c>
      <c r="Y313" s="3">
        <f t="shared" si="13"/>
        <v>1.0679318852367475E-5</v>
      </c>
      <c r="Z313" s="3">
        <f t="shared" si="14"/>
        <v>2.2434665602176083E-6</v>
      </c>
    </row>
    <row r="314" spans="20:26" x14ac:dyDescent="0.25">
      <c r="T314" s="3" t="s">
        <v>1195</v>
      </c>
      <c r="U314" s="3" t="s">
        <v>1210</v>
      </c>
      <c r="V314" s="3">
        <v>7707.55</v>
      </c>
      <c r="W314" s="3">
        <v>7732.62</v>
      </c>
      <c r="X314" s="3">
        <f t="shared" si="12"/>
        <v>1.9171159218042454E-5</v>
      </c>
      <c r="Y314" s="3">
        <f t="shared" si="13"/>
        <v>2.0853627717640615E-5</v>
      </c>
      <c r="Z314" s="3">
        <f t="shared" si="14"/>
        <v>1.6824684995981609E-6</v>
      </c>
    </row>
    <row r="315" spans="20:26" x14ac:dyDescent="0.25">
      <c r="T315" s="3" t="s">
        <v>858</v>
      </c>
      <c r="U315" s="3" t="s">
        <v>864</v>
      </c>
      <c r="V315" s="3">
        <v>305057.52</v>
      </c>
      <c r="W315" s="3">
        <v>281686.23</v>
      </c>
      <c r="X315" s="3">
        <f t="shared" si="12"/>
        <v>7.5877630201311315E-4</v>
      </c>
      <c r="Y315" s="3">
        <f t="shared" si="13"/>
        <v>7.5966228440110708E-4</v>
      </c>
      <c r="Z315" s="3">
        <f t="shared" si="14"/>
        <v>8.8598238799392649E-7</v>
      </c>
    </row>
    <row r="316" spans="20:26" x14ac:dyDescent="0.25">
      <c r="T316" s="3" t="s">
        <v>1245</v>
      </c>
      <c r="U316" s="3" t="s">
        <v>1270</v>
      </c>
      <c r="V316" s="3">
        <v>860.29</v>
      </c>
      <c r="W316" s="3">
        <v>1074.29</v>
      </c>
      <c r="X316" s="3">
        <f t="shared" si="12"/>
        <v>2.1398183033116542E-6</v>
      </c>
      <c r="Y316" s="3">
        <f t="shared" si="13"/>
        <v>2.8971866871492634E-6</v>
      </c>
      <c r="Z316" s="3">
        <f t="shared" si="14"/>
        <v>7.573683838376092E-7</v>
      </c>
    </row>
    <row r="317" spans="20:26" x14ac:dyDescent="0.25">
      <c r="T317" s="3" t="s">
        <v>1250</v>
      </c>
      <c r="U317" s="3" t="s">
        <v>1275</v>
      </c>
      <c r="V317" s="3">
        <v>209.67</v>
      </c>
      <c r="W317" s="3">
        <v>471.72</v>
      </c>
      <c r="X317" s="3">
        <f t="shared" si="12"/>
        <v>5.2151681834655127E-7</v>
      </c>
      <c r="Y317" s="3">
        <f t="shared" si="13"/>
        <v>1.2721526813635523E-6</v>
      </c>
      <c r="Z317" s="3">
        <f t="shared" si="14"/>
        <v>7.5063586301700104E-7</v>
      </c>
    </row>
    <row r="318" spans="20:26" x14ac:dyDescent="0.25">
      <c r="T318" s="3" t="s">
        <v>1251</v>
      </c>
      <c r="U318" s="3" t="s">
        <v>1276</v>
      </c>
      <c r="V318" s="3">
        <v>182.51</v>
      </c>
      <c r="W318" s="3">
        <v>445.22</v>
      </c>
      <c r="X318" s="3">
        <f t="shared" si="12"/>
        <v>4.5396115093446402E-7</v>
      </c>
      <c r="Y318" s="3">
        <f t="shared" si="13"/>
        <v>1.2006864597572304E-6</v>
      </c>
      <c r="Z318" s="3">
        <f t="shared" si="14"/>
        <v>7.467253088227664E-7</v>
      </c>
    </row>
    <row r="319" spans="20:26" x14ac:dyDescent="0.25">
      <c r="T319" s="3" t="s">
        <v>1252</v>
      </c>
      <c r="U319" s="3" t="s">
        <v>1277</v>
      </c>
      <c r="V319" s="3">
        <v>136.88</v>
      </c>
      <c r="W319" s="3">
        <v>338.14</v>
      </c>
      <c r="X319" s="3">
        <f t="shared" si="12"/>
        <v>3.4046464489567384E-7</v>
      </c>
      <c r="Y319" s="3">
        <f t="shared" si="13"/>
        <v>9.1190898769666649E-7</v>
      </c>
      <c r="Z319" s="3">
        <f t="shared" si="14"/>
        <v>5.7144434280099264E-7</v>
      </c>
    </row>
    <row r="320" spans="20:26" x14ac:dyDescent="0.25">
      <c r="T320" s="3" t="s">
        <v>1234</v>
      </c>
      <c r="U320" s="3" t="s">
        <v>1260</v>
      </c>
      <c r="V320" s="3">
        <v>3077.29</v>
      </c>
      <c r="W320" s="3">
        <v>2887.77</v>
      </c>
      <c r="X320" s="3">
        <f t="shared" si="12"/>
        <v>7.6542113317578032E-6</v>
      </c>
      <c r="Y320" s="3">
        <f t="shared" si="13"/>
        <v>7.7878494629467171E-6</v>
      </c>
      <c r="Z320" s="3">
        <f t="shared" si="14"/>
        <v>1.3363813118891399E-7</v>
      </c>
    </row>
    <row r="321" spans="20:26" x14ac:dyDescent="0.25">
      <c r="T321" s="3" t="s">
        <v>1497</v>
      </c>
      <c r="U321" s="3" t="s">
        <v>1631</v>
      </c>
      <c r="V321" s="3">
        <v>10.93</v>
      </c>
      <c r="W321" s="3">
        <v>4.6900000000000004</v>
      </c>
      <c r="X321" s="3">
        <f t="shared" si="12"/>
        <v>2.7186430221432753E-8</v>
      </c>
      <c r="Y321" s="3">
        <f t="shared" si="13"/>
        <v>1.2648172805043374E-8</v>
      </c>
      <c r="Z321" s="3">
        <f t="shared" si="14"/>
        <v>-1.453825741638938E-8</v>
      </c>
    </row>
    <row r="322" spans="20:26" x14ac:dyDescent="0.25">
      <c r="T322" s="3" t="s">
        <v>1248</v>
      </c>
      <c r="U322" s="3" t="s">
        <v>1273</v>
      </c>
      <c r="V322" s="3">
        <v>624.35</v>
      </c>
      <c r="W322" s="3">
        <v>535.59</v>
      </c>
      <c r="X322" s="3">
        <f t="shared" ref="X322:X385" si="15">V322/(R$2*12)</f>
        <v>1.5529595341950174E-6</v>
      </c>
      <c r="Y322" s="3">
        <f t="shared" ref="Y322:Y385" si="16">W322/(R$3*12)</f>
        <v>1.4443997596275438E-6</v>
      </c>
      <c r="Z322" s="3">
        <f t="shared" ref="Z322:Z385" si="17">Y322-X322</f>
        <v>-1.0855977456747363E-7</v>
      </c>
    </row>
    <row r="323" spans="20:26" x14ac:dyDescent="0.25">
      <c r="T323" s="3" t="s">
        <v>1247</v>
      </c>
      <c r="U323" s="3" t="s">
        <v>1272</v>
      </c>
      <c r="V323" s="3">
        <v>763.24</v>
      </c>
      <c r="W323" s="3">
        <v>635.24</v>
      </c>
      <c r="X323" s="3">
        <f t="shared" si="15"/>
        <v>1.8984236964507167E-6</v>
      </c>
      <c r="Y323" s="3">
        <f t="shared" si="16"/>
        <v>1.7131397212528257E-6</v>
      </c>
      <c r="Z323" s="3">
        <f t="shared" si="17"/>
        <v>-1.8528397519789098E-7</v>
      </c>
    </row>
    <row r="324" spans="20:26" x14ac:dyDescent="0.25">
      <c r="T324" s="3" t="s">
        <v>1206</v>
      </c>
      <c r="U324" s="3" t="s">
        <v>1222</v>
      </c>
      <c r="V324" s="3">
        <v>6159.34</v>
      </c>
      <c r="W324" s="3">
        <v>5557.67</v>
      </c>
      <c r="X324" s="3">
        <f t="shared" si="15"/>
        <v>1.5320262316567209E-5</v>
      </c>
      <c r="Y324" s="3">
        <f t="shared" si="16"/>
        <v>1.498813871074742E-5</v>
      </c>
      <c r="Z324" s="3">
        <f t="shared" si="17"/>
        <v>-3.3212360581978955E-7</v>
      </c>
    </row>
    <row r="325" spans="20:26" x14ac:dyDescent="0.25">
      <c r="T325" s="3" t="s">
        <v>1249</v>
      </c>
      <c r="U325" s="3" t="s">
        <v>1274</v>
      </c>
      <c r="V325" s="3">
        <v>718.11</v>
      </c>
      <c r="W325" s="3">
        <v>511.69</v>
      </c>
      <c r="X325" s="3">
        <f t="shared" si="15"/>
        <v>1.7861708514467588E-6</v>
      </c>
      <c r="Y325" s="3">
        <f t="shared" si="16"/>
        <v>1.3799453182542949E-6</v>
      </c>
      <c r="Z325" s="3">
        <f t="shared" si="17"/>
        <v>-4.0622553319246389E-7</v>
      </c>
    </row>
    <row r="326" spans="20:26" x14ac:dyDescent="0.25">
      <c r="T326" s="3" t="s">
        <v>1253</v>
      </c>
      <c r="U326" s="3" t="s">
        <v>1278</v>
      </c>
      <c r="V326" s="3">
        <v>529.66999999999996</v>
      </c>
      <c r="W326" s="3">
        <v>251.22</v>
      </c>
      <c r="X326" s="3">
        <f t="shared" si="15"/>
        <v>1.3174598806391844E-6</v>
      </c>
      <c r="Y326" s="3">
        <f t="shared" si="16"/>
        <v>6.7749978082793089E-7</v>
      </c>
      <c r="Z326" s="3">
        <f t="shared" si="17"/>
        <v>-6.3996009981125354E-7</v>
      </c>
    </row>
    <row r="327" spans="20:26" x14ac:dyDescent="0.25">
      <c r="T327" s="3" t="s">
        <v>1129</v>
      </c>
      <c r="U327" s="3" t="s">
        <v>1156</v>
      </c>
      <c r="V327" s="3">
        <v>15463.9</v>
      </c>
      <c r="W327" s="3">
        <v>14004.02</v>
      </c>
      <c r="X327" s="3">
        <f t="shared" si="15"/>
        <v>3.8463699753084531E-5</v>
      </c>
      <c r="Y327" s="3">
        <f t="shared" si="16"/>
        <v>3.7766581007523136E-5</v>
      </c>
      <c r="Z327" s="3">
        <f t="shared" si="17"/>
        <v>-6.97118745561395E-7</v>
      </c>
    </row>
    <row r="328" spans="20:26" x14ac:dyDescent="0.25">
      <c r="T328" s="3" t="s">
        <v>1121</v>
      </c>
      <c r="U328" s="3" t="s">
        <v>1148</v>
      </c>
      <c r="V328" s="3">
        <v>18390.64</v>
      </c>
      <c r="W328" s="3">
        <v>16649.25</v>
      </c>
      <c r="X328" s="3">
        <f t="shared" si="15"/>
        <v>4.574344474725435E-5</v>
      </c>
      <c r="Y328" s="3">
        <f t="shared" si="16"/>
        <v>4.4900339248266178E-5</v>
      </c>
      <c r="Z328" s="3">
        <f t="shared" si="17"/>
        <v>-8.4310549898817221E-7</v>
      </c>
    </row>
    <row r="329" spans="20:26" x14ac:dyDescent="0.25">
      <c r="T329" s="3" t="s">
        <v>1233</v>
      </c>
      <c r="U329" s="3" t="s">
        <v>1259</v>
      </c>
      <c r="V329" s="3">
        <v>3973.31</v>
      </c>
      <c r="W329" s="3">
        <v>3351.55</v>
      </c>
      <c r="X329" s="3">
        <f t="shared" si="15"/>
        <v>9.8829016526185699E-6</v>
      </c>
      <c r="Y329" s="3">
        <f t="shared" si="16"/>
        <v>9.0385892462138838E-6</v>
      </c>
      <c r="Z329" s="3">
        <f t="shared" si="17"/>
        <v>-8.443124064046861E-7</v>
      </c>
    </row>
    <row r="330" spans="20:26" x14ac:dyDescent="0.25">
      <c r="T330" s="3" t="s">
        <v>1135</v>
      </c>
      <c r="U330" s="3" t="s">
        <v>1164</v>
      </c>
      <c r="V330" s="3">
        <v>11367.39</v>
      </c>
      <c r="W330" s="3">
        <v>10128.799999999999</v>
      </c>
      <c r="X330" s="3">
        <f t="shared" si="15"/>
        <v>2.8274360021483299E-5</v>
      </c>
      <c r="Y330" s="3">
        <f t="shared" si="16"/>
        <v>2.7315738317211793E-5</v>
      </c>
      <c r="Z330" s="3">
        <f t="shared" si="17"/>
        <v>-9.586217042715058E-7</v>
      </c>
    </row>
    <row r="331" spans="20:26" x14ac:dyDescent="0.25">
      <c r="T331" s="3" t="s">
        <v>1244</v>
      </c>
      <c r="U331" s="3" t="s">
        <v>1269</v>
      </c>
      <c r="V331" s="3">
        <v>1709.24</v>
      </c>
      <c r="W331" s="3">
        <v>1200.08</v>
      </c>
      <c r="X331" s="3">
        <f t="shared" si="15"/>
        <v>4.2514303743533135E-6</v>
      </c>
      <c r="Y331" s="3">
        <f t="shared" si="16"/>
        <v>3.2364220085024416E-6</v>
      </c>
      <c r="Z331" s="3">
        <f t="shared" si="17"/>
        <v>-1.0150083658508719E-6</v>
      </c>
    </row>
    <row r="332" spans="20:26" x14ac:dyDescent="0.25">
      <c r="T332" s="3" t="s">
        <v>1254</v>
      </c>
      <c r="U332" s="3" t="s">
        <v>1279</v>
      </c>
      <c r="V332" s="3">
        <v>729.35</v>
      </c>
      <c r="W332" s="3">
        <v>234.17</v>
      </c>
      <c r="X332" s="3">
        <f t="shared" si="15"/>
        <v>1.8141283515097876E-6</v>
      </c>
      <c r="Y332" s="3">
        <f t="shared" si="16"/>
        <v>6.3151868353027854E-7</v>
      </c>
      <c r="Z332" s="3">
        <f t="shared" si="17"/>
        <v>-1.182609667979509E-6</v>
      </c>
    </row>
    <row r="333" spans="20:26" x14ac:dyDescent="0.25">
      <c r="T333" s="3" t="s">
        <v>992</v>
      </c>
      <c r="U333" s="3" t="s">
        <v>1028</v>
      </c>
      <c r="V333" s="3">
        <v>57657.39</v>
      </c>
      <c r="W333" s="3">
        <v>52359.5</v>
      </c>
      <c r="X333" s="3">
        <f t="shared" si="15"/>
        <v>1.4341249862625201E-4</v>
      </c>
      <c r="Y333" s="3">
        <f t="shared" si="16"/>
        <v>1.4120511812061161E-4</v>
      </c>
      <c r="Z333" s="3">
        <f t="shared" si="17"/>
        <v>-2.2073805056403977E-6</v>
      </c>
    </row>
    <row r="334" spans="20:26" x14ac:dyDescent="0.25">
      <c r="T334" s="3" t="s">
        <v>1256</v>
      </c>
      <c r="U334" s="3" t="s">
        <v>1281</v>
      </c>
      <c r="V334" s="3">
        <v>1211.77</v>
      </c>
      <c r="W334" s="3">
        <v>60.91</v>
      </c>
      <c r="X334" s="3">
        <f t="shared" si="15"/>
        <v>3.0140622643573255E-6</v>
      </c>
      <c r="Y334" s="3">
        <f t="shared" si="16"/>
        <v>1.6426443615249292E-7</v>
      </c>
      <c r="Z334" s="3">
        <f t="shared" si="17"/>
        <v>-2.8497978282048324E-6</v>
      </c>
    </row>
    <row r="335" spans="20:26" x14ac:dyDescent="0.25">
      <c r="T335" s="3" t="s">
        <v>1242</v>
      </c>
      <c r="U335" s="3" t="s">
        <v>1267</v>
      </c>
      <c r="V335" s="3">
        <v>3059.27</v>
      </c>
      <c r="W335" s="3">
        <v>1484.3</v>
      </c>
      <c r="X335" s="3">
        <f t="shared" si="15"/>
        <v>7.6093897880624502E-6</v>
      </c>
      <c r="Y335" s="3">
        <f t="shared" si="16"/>
        <v>4.0029174615193768E-6</v>
      </c>
      <c r="Z335" s="3">
        <f t="shared" si="17"/>
        <v>-3.6064723265430734E-6</v>
      </c>
    </row>
    <row r="336" spans="20:26" x14ac:dyDescent="0.25">
      <c r="T336" s="3" t="s">
        <v>1238</v>
      </c>
      <c r="U336" s="3" t="s">
        <v>1263</v>
      </c>
      <c r="V336" s="3">
        <v>3904.51</v>
      </c>
      <c r="W336" s="3">
        <v>2098.29</v>
      </c>
      <c r="X336" s="3">
        <f t="shared" si="15"/>
        <v>9.7117738942256541E-6</v>
      </c>
      <c r="Y336" s="3">
        <f t="shared" si="16"/>
        <v>5.6587493635595857E-6</v>
      </c>
      <c r="Z336" s="3">
        <f t="shared" si="17"/>
        <v>-4.0530245306660684E-6</v>
      </c>
    </row>
    <row r="337" spans="20:26" x14ac:dyDescent="0.25">
      <c r="T337" s="3" t="s">
        <v>1243</v>
      </c>
      <c r="U337" s="3" t="s">
        <v>1268</v>
      </c>
      <c r="V337" s="3">
        <v>3408.04</v>
      </c>
      <c r="W337" s="3">
        <v>1424.97</v>
      </c>
      <c r="X337" s="3">
        <f t="shared" si="15"/>
        <v>8.4768931062993307E-6</v>
      </c>
      <c r="Y337" s="3">
        <f t="shared" si="16"/>
        <v>3.8429140302777518E-6</v>
      </c>
      <c r="Z337" s="3">
        <f t="shared" si="17"/>
        <v>-4.6339790760215789E-6</v>
      </c>
    </row>
    <row r="338" spans="20:26" x14ac:dyDescent="0.25">
      <c r="T338" s="3" t="s">
        <v>1193</v>
      </c>
      <c r="U338" s="3" t="s">
        <v>1208</v>
      </c>
      <c r="V338" s="3">
        <v>10919.75</v>
      </c>
      <c r="W338" s="3">
        <v>8193.7900000000009</v>
      </c>
      <c r="X338" s="3">
        <f t="shared" si="15"/>
        <v>2.7160935170218693E-5</v>
      </c>
      <c r="Y338" s="3">
        <f t="shared" si="16"/>
        <v>2.2097328752289201E-5</v>
      </c>
      <c r="Z338" s="3">
        <f t="shared" si="17"/>
        <v>-5.0636064179294916E-6</v>
      </c>
    </row>
    <row r="339" spans="20:26" x14ac:dyDescent="0.25">
      <c r="T339" s="3" t="s">
        <v>950</v>
      </c>
      <c r="U339" s="3" t="s">
        <v>961</v>
      </c>
      <c r="V339" s="3">
        <v>103988.97</v>
      </c>
      <c r="W339" s="3">
        <v>93991.61</v>
      </c>
      <c r="X339" s="3">
        <f t="shared" si="15"/>
        <v>2.5865406008267742E-4</v>
      </c>
      <c r="Y339" s="3">
        <f t="shared" si="16"/>
        <v>2.5348019733565942E-4</v>
      </c>
      <c r="Z339" s="3">
        <f t="shared" si="17"/>
        <v>-5.1738627470180047E-6</v>
      </c>
    </row>
    <row r="340" spans="20:26" x14ac:dyDescent="0.25">
      <c r="T340" s="3" t="s">
        <v>1246</v>
      </c>
      <c r="U340" s="3" t="s">
        <v>1271</v>
      </c>
      <c r="V340" s="3">
        <v>3257.13</v>
      </c>
      <c r="W340" s="3">
        <v>749.27</v>
      </c>
      <c r="X340" s="3">
        <f t="shared" si="15"/>
        <v>8.1015313327662633E-6</v>
      </c>
      <c r="Y340" s="3">
        <f t="shared" si="16"/>
        <v>2.0206602212441039E-6</v>
      </c>
      <c r="Z340" s="3">
        <f t="shared" si="17"/>
        <v>-6.080871111522159E-6</v>
      </c>
    </row>
    <row r="341" spans="20:26" x14ac:dyDescent="0.25">
      <c r="T341" s="3" t="s">
        <v>1139</v>
      </c>
      <c r="U341" s="3" t="s">
        <v>1168</v>
      </c>
      <c r="V341" s="3">
        <v>12460.63</v>
      </c>
      <c r="W341" s="3">
        <v>9132.66</v>
      </c>
      <c r="X341" s="3">
        <f t="shared" si="15"/>
        <v>3.0993600000923294E-5</v>
      </c>
      <c r="Y341" s="3">
        <f t="shared" si="16"/>
        <v>2.4629309562837401E-5</v>
      </c>
      <c r="Z341" s="3">
        <f t="shared" si="17"/>
        <v>-6.364290438085893E-6</v>
      </c>
    </row>
    <row r="342" spans="20:26" x14ac:dyDescent="0.25">
      <c r="T342" s="3" t="s">
        <v>1131</v>
      </c>
      <c r="U342" s="3" t="s">
        <v>1159</v>
      </c>
      <c r="V342" s="3">
        <v>17113.39</v>
      </c>
      <c r="W342" s="3">
        <v>13139.99</v>
      </c>
      <c r="X342" s="3">
        <f t="shared" si="15"/>
        <v>4.2566512633775394E-5</v>
      </c>
      <c r="Y342" s="3">
        <f t="shared" si="16"/>
        <v>3.5436431594145389E-5</v>
      </c>
      <c r="Z342" s="3">
        <f t="shared" si="17"/>
        <v>-7.1300810396300045E-6</v>
      </c>
    </row>
    <row r="343" spans="20:26" x14ac:dyDescent="0.25">
      <c r="T343" s="3" t="s">
        <v>1227</v>
      </c>
      <c r="U343" s="3" t="s">
        <v>1229</v>
      </c>
      <c r="V343" s="3">
        <v>8433.52</v>
      </c>
      <c r="W343" s="3">
        <v>4948.58</v>
      </c>
      <c r="X343" s="3">
        <f t="shared" si="15"/>
        <v>2.0976880420956775E-5</v>
      </c>
      <c r="Y343" s="3">
        <f t="shared" si="16"/>
        <v>1.3345521317608002E-5</v>
      </c>
      <c r="Z343" s="3">
        <f t="shared" si="17"/>
        <v>-7.6313591033487725E-6</v>
      </c>
    </row>
    <row r="344" spans="20:26" x14ac:dyDescent="0.25">
      <c r="T344" s="3" t="s">
        <v>1194</v>
      </c>
      <c r="U344" s="3" t="s">
        <v>1209</v>
      </c>
      <c r="V344" s="3">
        <v>12107.49</v>
      </c>
      <c r="W344" s="3">
        <v>8047.41</v>
      </c>
      <c r="X344" s="3">
        <f t="shared" si="15"/>
        <v>3.011522708524198E-5</v>
      </c>
      <c r="Y344" s="3">
        <f t="shared" si="16"/>
        <v>2.1702565525167182E-5</v>
      </c>
      <c r="Z344" s="3">
        <f t="shared" si="17"/>
        <v>-8.4126615600747983E-6</v>
      </c>
    </row>
    <row r="345" spans="20:26" x14ac:dyDescent="0.25">
      <c r="T345" s="3" t="s">
        <v>1197</v>
      </c>
      <c r="U345" s="3" t="s">
        <v>1212</v>
      </c>
      <c r="V345" s="3">
        <v>11514.14</v>
      </c>
      <c r="W345" s="3">
        <v>7341.47</v>
      </c>
      <c r="X345" s="3">
        <f t="shared" si="15"/>
        <v>2.8639374535206561E-5</v>
      </c>
      <c r="Y345" s="3">
        <f t="shared" si="16"/>
        <v>1.9798759318345795E-5</v>
      </c>
      <c r="Z345" s="3">
        <f t="shared" si="17"/>
        <v>-8.8406152168607657E-6</v>
      </c>
    </row>
    <row r="346" spans="20:26" x14ac:dyDescent="0.25">
      <c r="T346" s="3" t="s">
        <v>1237</v>
      </c>
      <c r="U346" s="3" t="s">
        <v>243</v>
      </c>
      <c r="V346" s="3">
        <v>6770.91</v>
      </c>
      <c r="W346" s="3">
        <v>2307.4899999999998</v>
      </c>
      <c r="X346" s="3">
        <f t="shared" si="15"/>
        <v>1.6841433874711915E-5</v>
      </c>
      <c r="Y346" s="3">
        <f t="shared" si="16"/>
        <v>6.2229279884668503E-6</v>
      </c>
      <c r="Z346" s="3">
        <f t="shared" si="17"/>
        <v>-1.0618505886245064E-5</v>
      </c>
    </row>
    <row r="347" spans="20:26" x14ac:dyDescent="0.25">
      <c r="T347" s="3" t="s">
        <v>1108</v>
      </c>
      <c r="U347" s="3" t="s">
        <v>1112</v>
      </c>
      <c r="V347" s="3">
        <v>28928.560000000001</v>
      </c>
      <c r="W347" s="3">
        <v>22572.25</v>
      </c>
      <c r="X347" s="3">
        <f t="shared" si="15"/>
        <v>7.195464573161306E-5</v>
      </c>
      <c r="Y347" s="3">
        <f t="shared" si="16"/>
        <v>6.0873713986916903E-5</v>
      </c>
      <c r="Z347" s="3">
        <f t="shared" si="17"/>
        <v>-1.1080931744696157E-5</v>
      </c>
    </row>
    <row r="348" spans="20:26" x14ac:dyDescent="0.25">
      <c r="T348" s="3" t="s">
        <v>987</v>
      </c>
      <c r="U348" s="3" t="s">
        <v>1023</v>
      </c>
      <c r="V348" s="3">
        <v>69682.81</v>
      </c>
      <c r="W348" s="3">
        <v>59468.58</v>
      </c>
      <c r="X348" s="3">
        <f t="shared" si="15"/>
        <v>1.7332359118923664E-4</v>
      </c>
      <c r="Y348" s="3">
        <f t="shared" si="16"/>
        <v>1.6037715912804824E-4</v>
      </c>
      <c r="Z348" s="3">
        <f t="shared" si="17"/>
        <v>-1.2946432061188403E-5</v>
      </c>
    </row>
    <row r="349" spans="20:26" x14ac:dyDescent="0.25">
      <c r="T349" s="3" t="s">
        <v>1241</v>
      </c>
      <c r="U349" s="3" t="s">
        <v>1266</v>
      </c>
      <c r="V349" s="3">
        <v>7208</v>
      </c>
      <c r="W349" s="3">
        <v>1618.06</v>
      </c>
      <c r="X349" s="3">
        <f t="shared" si="15"/>
        <v>1.7928617478141564E-5</v>
      </c>
      <c r="Y349" s="3">
        <f t="shared" si="16"/>
        <v>4.3636465861254755E-6</v>
      </c>
      <c r="Z349" s="3">
        <f t="shared" si="17"/>
        <v>-1.3564970892016088E-5</v>
      </c>
    </row>
    <row r="350" spans="20:26" x14ac:dyDescent="0.25">
      <c r="T350" s="3" t="s">
        <v>1255</v>
      </c>
      <c r="U350" s="3" t="s">
        <v>1280</v>
      </c>
      <c r="V350" s="3">
        <v>5871.57</v>
      </c>
      <c r="W350" s="3">
        <v>121.41</v>
      </c>
      <c r="X350" s="3">
        <f t="shared" si="15"/>
        <v>1.4604485644579863E-5</v>
      </c>
      <c r="Y350" s="3">
        <f t="shared" si="16"/>
        <v>3.2742316849900125E-7</v>
      </c>
      <c r="Z350" s="3">
        <f t="shared" si="17"/>
        <v>-1.4277062476080862E-5</v>
      </c>
    </row>
    <row r="351" spans="20:26" x14ac:dyDescent="0.25">
      <c r="T351" s="3" t="s">
        <v>944</v>
      </c>
      <c r="U351" s="3" t="s">
        <v>955</v>
      </c>
      <c r="V351" s="3">
        <v>129376.77</v>
      </c>
      <c r="W351" s="3">
        <v>113942.79</v>
      </c>
      <c r="X351" s="3">
        <f t="shared" si="15"/>
        <v>3.2180169532290524E-4</v>
      </c>
      <c r="Y351" s="3">
        <f t="shared" si="16"/>
        <v>3.072853087012298E-4</v>
      </c>
      <c r="Z351" s="3">
        <f t="shared" si="17"/>
        <v>-1.4516386621675438E-5</v>
      </c>
    </row>
    <row r="352" spans="20:26" x14ac:dyDescent="0.25">
      <c r="T352" s="3" t="s">
        <v>1079</v>
      </c>
      <c r="U352" s="3" t="s">
        <v>1085</v>
      </c>
      <c r="V352" s="3">
        <v>37905.93</v>
      </c>
      <c r="W352" s="3">
        <v>29112.93</v>
      </c>
      <c r="X352" s="3">
        <f t="shared" si="15"/>
        <v>9.428425626015686E-5</v>
      </c>
      <c r="Y352" s="3">
        <f t="shared" si="16"/>
        <v>7.8512871961861693E-5</v>
      </c>
      <c r="Z352" s="3">
        <f t="shared" si="17"/>
        <v>-1.5771384298295167E-5</v>
      </c>
    </row>
    <row r="353" spans="20:26" x14ac:dyDescent="0.25">
      <c r="T353" s="3" t="s">
        <v>1202</v>
      </c>
      <c r="U353" s="3" t="s">
        <v>1217</v>
      </c>
      <c r="V353" s="3">
        <v>13738.62</v>
      </c>
      <c r="W353" s="3">
        <v>6576.52</v>
      </c>
      <c r="X353" s="3">
        <f t="shared" si="15"/>
        <v>3.4172372732733801E-5</v>
      </c>
      <c r="Y353" s="3">
        <f t="shared" si="16"/>
        <v>1.7735812668619159E-5</v>
      </c>
      <c r="Z353" s="3">
        <f t="shared" si="17"/>
        <v>-1.6436560064114643E-5</v>
      </c>
    </row>
    <row r="354" spans="20:26" x14ac:dyDescent="0.25">
      <c r="T354" s="3" t="s">
        <v>1235</v>
      </c>
      <c r="U354" s="3" t="s">
        <v>1261</v>
      </c>
      <c r="V354" s="3">
        <v>10090.549999999999</v>
      </c>
      <c r="W354" s="3">
        <v>2866.96</v>
      </c>
      <c r="X354" s="3">
        <f t="shared" si="15"/>
        <v>2.5098447710052905E-5</v>
      </c>
      <c r="Y354" s="3">
        <f t="shared" si="16"/>
        <v>7.7317282526966207E-6</v>
      </c>
      <c r="Z354" s="3">
        <f t="shared" si="17"/>
        <v>-1.7366719457356283E-5</v>
      </c>
    </row>
    <row r="355" spans="20:26" x14ac:dyDescent="0.25">
      <c r="T355" s="3" t="s">
        <v>1078</v>
      </c>
      <c r="U355" s="3" t="s">
        <v>1084</v>
      </c>
      <c r="V355" s="3">
        <v>39305.64</v>
      </c>
      <c r="W355" s="3">
        <v>29474.6</v>
      </c>
      <c r="X355" s="3">
        <f t="shared" si="15"/>
        <v>9.7765785834286921E-5</v>
      </c>
      <c r="Y355" s="3">
        <f t="shared" si="16"/>
        <v>7.9488237560667666E-5</v>
      </c>
      <c r="Z355" s="3">
        <f t="shared" si="17"/>
        <v>-1.8277548273619256E-5</v>
      </c>
    </row>
    <row r="356" spans="20:26" x14ac:dyDescent="0.25">
      <c r="T356" s="3" t="s">
        <v>1134</v>
      </c>
      <c r="U356" s="3" t="s">
        <v>1163</v>
      </c>
      <c r="V356" s="3">
        <v>20323.88</v>
      </c>
      <c r="W356" s="3">
        <v>10921.1</v>
      </c>
      <c r="X356" s="3">
        <f t="shared" si="15"/>
        <v>5.055203526521251E-5</v>
      </c>
      <c r="Y356" s="3">
        <f t="shared" si="16"/>
        <v>2.9452443501313259E-5</v>
      </c>
      <c r="Z356" s="3">
        <f t="shared" si="17"/>
        <v>-2.1099591763899251E-5</v>
      </c>
    </row>
    <row r="357" spans="20:26" x14ac:dyDescent="0.25">
      <c r="T357" s="3" t="s">
        <v>1192</v>
      </c>
      <c r="U357" s="3" t="s">
        <v>1207</v>
      </c>
      <c r="V357" s="3">
        <v>17512.72</v>
      </c>
      <c r="W357" s="3">
        <v>8270.15</v>
      </c>
      <c r="X357" s="3">
        <f t="shared" si="15"/>
        <v>4.3559774955854514E-5</v>
      </c>
      <c r="Y357" s="3">
        <f t="shared" si="16"/>
        <v>2.2303259344057449E-5</v>
      </c>
      <c r="Z357" s="3">
        <f t="shared" si="17"/>
        <v>-2.1256515611797064E-5</v>
      </c>
    </row>
    <row r="358" spans="20:26" x14ac:dyDescent="0.25">
      <c r="T358" s="3" t="s">
        <v>1123</v>
      </c>
      <c r="U358" s="3" t="s">
        <v>1150</v>
      </c>
      <c r="V358" s="3">
        <v>26252.14</v>
      </c>
      <c r="W358" s="3">
        <v>16206.34</v>
      </c>
      <c r="X358" s="3">
        <f t="shared" si="15"/>
        <v>6.5297527197921652E-5</v>
      </c>
      <c r="Y358" s="3">
        <f t="shared" si="16"/>
        <v>4.3705882485562181E-5</v>
      </c>
      <c r="Z358" s="3">
        <f t="shared" si="17"/>
        <v>-2.1591644712359471E-5</v>
      </c>
    </row>
    <row r="359" spans="20:26" x14ac:dyDescent="0.25">
      <c r="T359" s="3" t="s">
        <v>1239</v>
      </c>
      <c r="U359" s="3" t="s">
        <v>1264</v>
      </c>
      <c r="V359" s="3">
        <v>10990.45</v>
      </c>
      <c r="W359" s="3">
        <v>2085.88</v>
      </c>
      <c r="X359" s="3">
        <f t="shared" si="15"/>
        <v>2.7336788840543973E-5</v>
      </c>
      <c r="Y359" s="3">
        <f t="shared" si="16"/>
        <v>5.6252815971394185E-6</v>
      </c>
      <c r="Z359" s="3">
        <f t="shared" si="17"/>
        <v>-2.1711507243404556E-5</v>
      </c>
    </row>
    <row r="360" spans="20:26" x14ac:dyDescent="0.25">
      <c r="T360" s="3" t="s">
        <v>1118</v>
      </c>
      <c r="U360" s="3" t="s">
        <v>1145</v>
      </c>
      <c r="V360" s="3">
        <v>28004.02</v>
      </c>
      <c r="W360" s="3">
        <v>17728.11</v>
      </c>
      <c r="X360" s="3">
        <f t="shared" si="15"/>
        <v>6.9655016985325455E-5</v>
      </c>
      <c r="Y360" s="3">
        <f t="shared" si="16"/>
        <v>4.7809850487594348E-5</v>
      </c>
      <c r="Z360" s="3">
        <f t="shared" si="17"/>
        <v>-2.1845166497731108E-5</v>
      </c>
    </row>
    <row r="361" spans="20:26" x14ac:dyDescent="0.25">
      <c r="T361" s="3" t="s">
        <v>888</v>
      </c>
      <c r="U361" s="3" t="s">
        <v>893</v>
      </c>
      <c r="V361" s="3">
        <v>250527.33</v>
      </c>
      <c r="W361" s="3">
        <v>221412.31</v>
      </c>
      <c r="X361" s="3">
        <f t="shared" si="15"/>
        <v>6.2314215696311582E-4</v>
      </c>
      <c r="Y361" s="3">
        <f t="shared" si="16"/>
        <v>5.9711325331425003E-4</v>
      </c>
      <c r="Z361" s="3">
        <f t="shared" si="17"/>
        <v>-2.6028903648865793E-5</v>
      </c>
    </row>
    <row r="362" spans="20:26" x14ac:dyDescent="0.25">
      <c r="T362" s="3" t="s">
        <v>972</v>
      </c>
      <c r="U362" s="3" t="s">
        <v>1007</v>
      </c>
      <c r="V362" s="3">
        <v>100828.57</v>
      </c>
      <c r="W362" s="3">
        <v>82584.69</v>
      </c>
      <c r="X362" s="3">
        <f t="shared" si="15"/>
        <v>2.5079312741370981E-4</v>
      </c>
      <c r="Y362" s="3">
        <f t="shared" si="16"/>
        <v>2.2271757572941097E-4</v>
      </c>
      <c r="Z362" s="3">
        <f t="shared" si="17"/>
        <v>-2.8075551684298848E-5</v>
      </c>
    </row>
    <row r="363" spans="20:26" x14ac:dyDescent="0.25">
      <c r="T363" s="3" t="s">
        <v>1005</v>
      </c>
      <c r="U363" s="3" t="s">
        <v>1041</v>
      </c>
      <c r="V363" s="3">
        <v>56939.61</v>
      </c>
      <c r="W363" s="3">
        <v>41277.919999999998</v>
      </c>
      <c r="X363" s="3">
        <f t="shared" si="15"/>
        <v>1.4162714859108826E-4</v>
      </c>
      <c r="Y363" s="3">
        <f t="shared" si="16"/>
        <v>1.1131988596860467E-4</v>
      </c>
      <c r="Z363" s="3">
        <f t="shared" si="17"/>
        <v>-3.0307262622483594E-5</v>
      </c>
    </row>
    <row r="364" spans="20:26" x14ac:dyDescent="0.25">
      <c r="T364" s="3" t="s">
        <v>873</v>
      </c>
      <c r="U364" s="3" t="s">
        <v>877</v>
      </c>
      <c r="V364" s="3">
        <v>276222.71999999997</v>
      </c>
      <c r="W364" s="3">
        <v>243089.15</v>
      </c>
      <c r="X364" s="3">
        <f t="shared" si="15"/>
        <v>6.8705486759875172E-4</v>
      </c>
      <c r="Y364" s="3">
        <f t="shared" si="16"/>
        <v>6.5557219109405312E-4</v>
      </c>
      <c r="Z364" s="3">
        <f t="shared" si="17"/>
        <v>-3.1482676504698609E-5</v>
      </c>
    </row>
    <row r="365" spans="20:26" x14ac:dyDescent="0.25">
      <c r="T365" s="3" t="s">
        <v>933</v>
      </c>
      <c r="U365" s="3" t="s">
        <v>937</v>
      </c>
      <c r="V365" s="3">
        <v>147274.01</v>
      </c>
      <c r="W365" s="3">
        <v>124011.57</v>
      </c>
      <c r="X365" s="3">
        <f t="shared" si="15"/>
        <v>3.6631789536098718E-4</v>
      </c>
      <c r="Y365" s="3">
        <f t="shared" si="16"/>
        <v>3.3443918276859969E-4</v>
      </c>
      <c r="Z365" s="3">
        <f t="shared" si="17"/>
        <v>-3.1878712592387491E-5</v>
      </c>
    </row>
    <row r="366" spans="20:26" x14ac:dyDescent="0.25">
      <c r="T366" s="3" t="s">
        <v>826</v>
      </c>
      <c r="U366" s="3" t="s">
        <v>836</v>
      </c>
      <c r="V366" s="3">
        <v>415575.63</v>
      </c>
      <c r="W366" s="3">
        <v>371160.51</v>
      </c>
      <c r="X366" s="3">
        <f t="shared" si="15"/>
        <v>1.0336704361137196E-3</v>
      </c>
      <c r="Y366" s="3">
        <f t="shared" si="16"/>
        <v>1.0009599720443559E-3</v>
      </c>
      <c r="Z366" s="3">
        <f t="shared" si="17"/>
        <v>-3.2710464069363697E-5</v>
      </c>
    </row>
    <row r="367" spans="20:26" x14ac:dyDescent="0.25">
      <c r="T367" s="3" t="s">
        <v>1093</v>
      </c>
      <c r="U367" s="3" t="s">
        <v>1099</v>
      </c>
      <c r="V367" s="3">
        <v>40375.65</v>
      </c>
      <c r="W367" s="3">
        <v>23846.46</v>
      </c>
      <c r="X367" s="3">
        <f t="shared" si="15"/>
        <v>1.0042724532204861E-4</v>
      </c>
      <c r="Y367" s="3">
        <f t="shared" si="16"/>
        <v>6.4310052637218463E-5</v>
      </c>
      <c r="Z367" s="3">
        <f t="shared" si="17"/>
        <v>-3.6117192684830148E-5</v>
      </c>
    </row>
    <row r="368" spans="20:26" x14ac:dyDescent="0.25">
      <c r="T368" s="3" t="s">
        <v>931</v>
      </c>
      <c r="U368" s="3" t="s">
        <v>935</v>
      </c>
      <c r="V368" s="3">
        <v>153272.42000000001</v>
      </c>
      <c r="W368" s="3">
        <v>127946.35</v>
      </c>
      <c r="X368" s="3">
        <f t="shared" si="15"/>
        <v>3.812378729368833E-4</v>
      </c>
      <c r="Y368" s="3">
        <f t="shared" si="16"/>
        <v>3.4505064916301947E-4</v>
      </c>
      <c r="Z368" s="3">
        <f t="shared" si="17"/>
        <v>-3.618722377386383E-5</v>
      </c>
    </row>
    <row r="369" spans="20:26" x14ac:dyDescent="0.25">
      <c r="T369" s="3" t="s">
        <v>1128</v>
      </c>
      <c r="U369" s="3" t="s">
        <v>1155</v>
      </c>
      <c r="V369" s="3">
        <v>29883.79</v>
      </c>
      <c r="W369" s="3">
        <v>14046.66</v>
      </c>
      <c r="X369" s="3">
        <f t="shared" si="15"/>
        <v>7.433061039221865E-5</v>
      </c>
      <c r="Y369" s="3">
        <f t="shared" si="16"/>
        <v>3.7881574203345528E-5</v>
      </c>
      <c r="Z369" s="3">
        <f t="shared" si="17"/>
        <v>-3.6449036188873122E-5</v>
      </c>
    </row>
    <row r="370" spans="20:26" x14ac:dyDescent="0.25">
      <c r="T370" s="3" t="s">
        <v>919</v>
      </c>
      <c r="U370" s="3" t="s">
        <v>923</v>
      </c>
      <c r="V370" s="3">
        <v>172116.37</v>
      </c>
      <c r="W370" s="3">
        <v>145046.35999999999</v>
      </c>
      <c r="X370" s="3">
        <f t="shared" si="15"/>
        <v>4.281088456515372E-4</v>
      </c>
      <c r="Y370" s="3">
        <f t="shared" si="16"/>
        <v>3.9116661535661633E-4</v>
      </c>
      <c r="Z370" s="3">
        <f t="shared" si="17"/>
        <v>-3.6942230294920869E-5</v>
      </c>
    </row>
    <row r="371" spans="20:26" x14ac:dyDescent="0.25">
      <c r="T371" s="3" t="s">
        <v>999</v>
      </c>
      <c r="U371" s="3" t="s">
        <v>1035</v>
      </c>
      <c r="V371" s="3">
        <v>64635.74</v>
      </c>
      <c r="W371" s="3">
        <v>45424.639999999999</v>
      </c>
      <c r="X371" s="3">
        <f t="shared" si="15"/>
        <v>1.6076990259109513E-4</v>
      </c>
      <c r="Y371" s="3">
        <f t="shared" si="16"/>
        <v>1.2250292032556191E-4</v>
      </c>
      <c r="Z371" s="3">
        <f t="shared" si="17"/>
        <v>-3.8266982265533223E-5</v>
      </c>
    </row>
    <row r="372" spans="20:26" x14ac:dyDescent="0.25">
      <c r="T372" s="3" t="s">
        <v>973</v>
      </c>
      <c r="U372" s="3" t="s">
        <v>1008</v>
      </c>
      <c r="V372" s="3">
        <v>100220.28</v>
      </c>
      <c r="W372" s="3">
        <v>78174.080000000002</v>
      </c>
      <c r="X372" s="3">
        <f t="shared" si="15"/>
        <v>2.4928011427195355E-4</v>
      </c>
      <c r="Y372" s="3">
        <f t="shared" si="16"/>
        <v>2.1082287264718232E-4</v>
      </c>
      <c r="Z372" s="3">
        <f t="shared" si="17"/>
        <v>-3.8457241624771231E-5</v>
      </c>
    </row>
    <row r="373" spans="20:26" x14ac:dyDescent="0.25">
      <c r="T373" s="3" t="s">
        <v>1200</v>
      </c>
      <c r="U373" s="3" t="s">
        <v>1215</v>
      </c>
      <c r="V373" s="3">
        <v>24033.99</v>
      </c>
      <c r="W373" s="3">
        <v>7106.01</v>
      </c>
      <c r="X373" s="3">
        <f t="shared" si="15"/>
        <v>5.9780273749095387E-5</v>
      </c>
      <c r="Y373" s="3">
        <f t="shared" si="16"/>
        <v>1.916376171308449E-5</v>
      </c>
      <c r="Z373" s="3">
        <f t="shared" si="17"/>
        <v>-4.06165120360109E-5</v>
      </c>
    </row>
    <row r="374" spans="20:26" x14ac:dyDescent="0.25">
      <c r="T374" s="3" t="s">
        <v>1077</v>
      </c>
      <c r="U374" s="3" t="s">
        <v>1083</v>
      </c>
      <c r="V374" s="3">
        <v>51126.96</v>
      </c>
      <c r="W374" s="3">
        <v>29577.72</v>
      </c>
      <c r="X374" s="3">
        <f t="shared" si="15"/>
        <v>1.2716921596285302E-4</v>
      </c>
      <c r="Y374" s="3">
        <f t="shared" si="16"/>
        <v>7.9766335552065566E-5</v>
      </c>
      <c r="Z374" s="3">
        <f t="shared" si="17"/>
        <v>-4.7402880410787451E-5</v>
      </c>
    </row>
    <row r="375" spans="20:26" x14ac:dyDescent="0.25">
      <c r="T375" s="3" t="s">
        <v>949</v>
      </c>
      <c r="U375" s="3" t="s">
        <v>960</v>
      </c>
      <c r="V375" s="3">
        <v>126452.66</v>
      </c>
      <c r="W375" s="3">
        <v>98661.65</v>
      </c>
      <c r="X375" s="3">
        <f t="shared" si="15"/>
        <v>3.1452849198577868E-4</v>
      </c>
      <c r="Y375" s="3">
        <f t="shared" si="16"/>
        <v>2.6607454124322118E-4</v>
      </c>
      <c r="Z375" s="3">
        <f t="shared" si="17"/>
        <v>-4.8453950742557495E-5</v>
      </c>
    </row>
    <row r="376" spans="20:26" x14ac:dyDescent="0.25">
      <c r="T376" s="3" t="s">
        <v>946</v>
      </c>
      <c r="U376" s="3" t="s">
        <v>957</v>
      </c>
      <c r="V376" s="3">
        <v>135023.13</v>
      </c>
      <c r="W376" s="3">
        <v>105648.4</v>
      </c>
      <c r="X376" s="3">
        <f t="shared" si="15"/>
        <v>3.3584601116417597E-4</v>
      </c>
      <c r="Y376" s="3">
        <f t="shared" si="16"/>
        <v>2.8491667799069171E-4</v>
      </c>
      <c r="Z376" s="3">
        <f t="shared" si="17"/>
        <v>-5.0929333173484258E-5</v>
      </c>
    </row>
    <row r="377" spans="20:26" x14ac:dyDescent="0.25">
      <c r="T377" s="3" t="s">
        <v>922</v>
      </c>
      <c r="U377" s="3" t="s">
        <v>926</v>
      </c>
      <c r="V377" s="3">
        <v>173374.05</v>
      </c>
      <c r="W377" s="3">
        <v>140982.69</v>
      </c>
      <c r="X377" s="3">
        <f t="shared" si="15"/>
        <v>4.3123710087211281E-4</v>
      </c>
      <c r="Y377" s="3">
        <f t="shared" si="16"/>
        <v>3.8020755344133483E-4</v>
      </c>
      <c r="Z377" s="3">
        <f t="shared" si="17"/>
        <v>-5.102954743077797E-5</v>
      </c>
    </row>
    <row r="378" spans="20:26" x14ac:dyDescent="0.25">
      <c r="T378" s="3" t="s">
        <v>1204</v>
      </c>
      <c r="U378" s="3" t="s">
        <v>1220</v>
      </c>
      <c r="V378" s="3">
        <v>27383.54</v>
      </c>
      <c r="W378" s="3">
        <v>6124.05</v>
      </c>
      <c r="X378" s="3">
        <f t="shared" si="15"/>
        <v>6.8111683387540037E-5</v>
      </c>
      <c r="Y378" s="3">
        <f t="shared" si="16"/>
        <v>1.6515574129365858E-5</v>
      </c>
      <c r="Z378" s="3">
        <f t="shared" si="17"/>
        <v>-5.1596109258174175E-5</v>
      </c>
    </row>
    <row r="379" spans="20:26" x14ac:dyDescent="0.25">
      <c r="T379" s="3" t="s">
        <v>974</v>
      </c>
      <c r="U379" s="3" t="s">
        <v>1009</v>
      </c>
      <c r="V379" s="3">
        <v>104841.8</v>
      </c>
      <c r="W379" s="3">
        <v>76896.41</v>
      </c>
      <c r="X379" s="3">
        <f t="shared" si="15"/>
        <v>2.6077532296334935E-4</v>
      </c>
      <c r="Y379" s="3">
        <f t="shared" si="16"/>
        <v>2.0737720293549368E-4</v>
      </c>
      <c r="Z379" s="3">
        <f t="shared" si="17"/>
        <v>-5.3398120027855676E-5</v>
      </c>
    </row>
    <row r="380" spans="20:26" x14ac:dyDescent="0.25">
      <c r="T380" s="3" t="s">
        <v>1236</v>
      </c>
      <c r="U380" s="3" t="s">
        <v>1262</v>
      </c>
      <c r="V380" s="3">
        <v>25280.98</v>
      </c>
      <c r="W380" s="3">
        <v>2716.04</v>
      </c>
      <c r="X380" s="3">
        <f t="shared" si="15"/>
        <v>6.2881939496746292E-5</v>
      </c>
      <c r="Y380" s="3">
        <f t="shared" si="16"/>
        <v>7.324721378552239E-6</v>
      </c>
      <c r="Z380" s="3">
        <f t="shared" si="17"/>
        <v>-5.5557218118194056E-5</v>
      </c>
    </row>
    <row r="381" spans="20:26" x14ac:dyDescent="0.25">
      <c r="T381" s="3" t="s">
        <v>947</v>
      </c>
      <c r="U381" s="3" t="s">
        <v>958</v>
      </c>
      <c r="V381" s="3">
        <v>135973.72</v>
      </c>
      <c r="W381" s="3">
        <v>104375.55</v>
      </c>
      <c r="X381" s="3">
        <f t="shared" si="15"/>
        <v>3.3821043465037833E-4</v>
      </c>
      <c r="Y381" s="3">
        <f t="shared" si="16"/>
        <v>2.8148400704081978E-4</v>
      </c>
      <c r="Z381" s="3">
        <f t="shared" si="17"/>
        <v>-5.6726427609558546E-5</v>
      </c>
    </row>
    <row r="382" spans="20:26" x14ac:dyDescent="0.25">
      <c r="T382" s="3" t="s">
        <v>1203</v>
      </c>
      <c r="U382" s="3" t="s">
        <v>1218</v>
      </c>
      <c r="V382" s="3">
        <v>30806.46</v>
      </c>
      <c r="W382" s="3">
        <v>6545.27</v>
      </c>
      <c r="X382" s="3">
        <f t="shared" si="15"/>
        <v>7.6625587846235982E-5</v>
      </c>
      <c r="Y382" s="3">
        <f t="shared" si="16"/>
        <v>1.7651536463894721E-5</v>
      </c>
      <c r="Z382" s="3">
        <f t="shared" si="17"/>
        <v>-5.8974051382341261E-5</v>
      </c>
    </row>
    <row r="383" spans="20:26" x14ac:dyDescent="0.25">
      <c r="T383" s="3" t="s">
        <v>692</v>
      </c>
      <c r="U383" s="3" t="s">
        <v>696</v>
      </c>
      <c r="V383" s="3">
        <v>1335584.1000000001</v>
      </c>
      <c r="W383" s="3">
        <v>1209950.8700000001</v>
      </c>
      <c r="X383" s="3">
        <f t="shared" si="15"/>
        <v>3.3220278078229704E-3</v>
      </c>
      <c r="Y383" s="3">
        <f t="shared" si="16"/>
        <v>3.2630421512521474E-3</v>
      </c>
      <c r="Z383" s="3">
        <f t="shared" si="17"/>
        <v>-5.8985656570822997E-5</v>
      </c>
    </row>
    <row r="384" spans="20:26" x14ac:dyDescent="0.25">
      <c r="T384" s="3" t="s">
        <v>1201</v>
      </c>
      <c r="U384" s="3" t="s">
        <v>1216</v>
      </c>
      <c r="V384" s="3">
        <v>31878.78</v>
      </c>
      <c r="W384" s="3">
        <v>6961</v>
      </c>
      <c r="X384" s="3">
        <f t="shared" si="15"/>
        <v>7.9292793047978591E-5</v>
      </c>
      <c r="Y384" s="3">
        <f t="shared" si="16"/>
        <v>1.8772693154777593E-5</v>
      </c>
      <c r="Z384" s="3">
        <f t="shared" si="17"/>
        <v>-6.0520099893200994E-5</v>
      </c>
    </row>
    <row r="385" spans="20:26" x14ac:dyDescent="0.25">
      <c r="T385" s="3" t="s">
        <v>1105</v>
      </c>
      <c r="U385" s="3" t="s">
        <v>1109</v>
      </c>
      <c r="V385" s="3">
        <v>49693.52</v>
      </c>
      <c r="W385" s="3">
        <v>22953.45</v>
      </c>
      <c r="X385" s="3">
        <f t="shared" si="15"/>
        <v>1.2360378901531317E-4</v>
      </c>
      <c r="Y385" s="3">
        <f t="shared" si="16"/>
        <v>6.1901748842627463E-5</v>
      </c>
      <c r="Z385" s="3">
        <f t="shared" si="17"/>
        <v>-6.1702040172685707E-5</v>
      </c>
    </row>
    <row r="386" spans="20:26" x14ac:dyDescent="0.25">
      <c r="T386" s="3">
        <v>90744</v>
      </c>
      <c r="U386" s="3" t="s">
        <v>1113</v>
      </c>
      <c r="V386" s="3">
        <v>49299.25</v>
      </c>
      <c r="W386" s="3">
        <v>20949.689999999999</v>
      </c>
      <c r="X386" s="3">
        <f t="shared" ref="X386:X449" si="18">V386/(R$2*12)</f>
        <v>1.2262311254290656E-4</v>
      </c>
      <c r="Y386" s="3">
        <f t="shared" ref="Y386:Y449" si="19">W386/(R$3*12)</f>
        <v>5.6497931627311108E-5</v>
      </c>
      <c r="Z386" s="3">
        <f t="shared" ref="Z386:Z449" si="20">Y386-X386</f>
        <v>-6.612518091559546E-5</v>
      </c>
    </row>
    <row r="387" spans="20:26" x14ac:dyDescent="0.25">
      <c r="T387" s="3" t="s">
        <v>1199</v>
      </c>
      <c r="U387" s="3" t="s">
        <v>1214</v>
      </c>
      <c r="V387" s="3">
        <v>35786.28</v>
      </c>
      <c r="W387" s="3">
        <v>7109.33</v>
      </c>
      <c r="X387" s="3">
        <f t="shared" si="18"/>
        <v>8.9012004035192544E-5</v>
      </c>
      <c r="Y387" s="3">
        <f t="shared" si="19"/>
        <v>1.9172715217074413E-5</v>
      </c>
      <c r="Z387" s="3">
        <f t="shared" si="20"/>
        <v>-6.9839288818118137E-5</v>
      </c>
    </row>
    <row r="388" spans="20:26" x14ac:dyDescent="0.25">
      <c r="T388" s="3" t="s">
        <v>1231</v>
      </c>
      <c r="U388" s="3" t="s">
        <v>1257</v>
      </c>
      <c r="V388" s="3">
        <v>32739.66</v>
      </c>
      <c r="W388" s="3">
        <v>3657.93</v>
      </c>
      <c r="X388" s="3">
        <f t="shared" si="18"/>
        <v>8.1434078871311344E-5</v>
      </c>
      <c r="Y388" s="3">
        <f t="shared" si="19"/>
        <v>9.8648466415250106E-6</v>
      </c>
      <c r="Z388" s="3">
        <f t="shared" si="20"/>
        <v>-7.1569232229786337E-5</v>
      </c>
    </row>
    <row r="389" spans="20:26" x14ac:dyDescent="0.25">
      <c r="T389" s="3" t="s">
        <v>978</v>
      </c>
      <c r="U389" s="3" t="s">
        <v>1013</v>
      </c>
      <c r="V389" s="3">
        <v>105170.14</v>
      </c>
      <c r="W389" s="3">
        <v>70153.3</v>
      </c>
      <c r="X389" s="3">
        <f t="shared" si="18"/>
        <v>2.6159201029170298E-4</v>
      </c>
      <c r="Y389" s="3">
        <f t="shared" si="19"/>
        <v>1.8919212393263312E-4</v>
      </c>
      <c r="Z389" s="3">
        <f t="shared" si="20"/>
        <v>-7.2399886359069863E-5</v>
      </c>
    </row>
    <row r="390" spans="20:26" x14ac:dyDescent="0.25">
      <c r="T390" s="3" t="s">
        <v>1143</v>
      </c>
      <c r="U390" s="3" t="s">
        <v>1172</v>
      </c>
      <c r="V390" s="3">
        <v>39417.42</v>
      </c>
      <c r="W390" s="3">
        <v>8401.6</v>
      </c>
      <c r="X390" s="3">
        <f t="shared" si="18"/>
        <v>9.8043818695234012E-5</v>
      </c>
      <c r="Y390" s="3">
        <f t="shared" si="19"/>
        <v>2.2657758771610322E-5</v>
      </c>
      <c r="Z390" s="3">
        <f t="shared" si="20"/>
        <v>-7.5386059923623693E-5</v>
      </c>
    </row>
    <row r="391" spans="20:26" x14ac:dyDescent="0.25">
      <c r="T391" s="3" t="s">
        <v>1125</v>
      </c>
      <c r="U391" s="3" t="s">
        <v>1152</v>
      </c>
      <c r="V391" s="3">
        <v>46247.839999999997</v>
      </c>
      <c r="W391" s="3">
        <v>14279.37</v>
      </c>
      <c r="X391" s="3">
        <f t="shared" si="18"/>
        <v>1.1503327310631166E-4</v>
      </c>
      <c r="Y391" s="3">
        <f t="shared" si="19"/>
        <v>3.850915550259109E-5</v>
      </c>
      <c r="Z391" s="3">
        <f t="shared" si="20"/>
        <v>-7.6524117603720573E-5</v>
      </c>
    </row>
    <row r="392" spans="20:26" x14ac:dyDescent="0.25">
      <c r="T392" s="3" t="s">
        <v>885</v>
      </c>
      <c r="U392" s="3" t="s">
        <v>890</v>
      </c>
      <c r="V392" s="3">
        <v>281794.59000000003</v>
      </c>
      <c r="W392" s="3">
        <v>229988.98</v>
      </c>
      <c r="X392" s="3">
        <f t="shared" si="18"/>
        <v>7.009139028190533E-4</v>
      </c>
      <c r="Y392" s="3">
        <f t="shared" si="19"/>
        <v>6.2024314761101589E-4</v>
      </c>
      <c r="Z392" s="3">
        <f t="shared" si="20"/>
        <v>-8.0670755208037408E-5</v>
      </c>
    </row>
    <row r="393" spans="20:26" x14ac:dyDescent="0.25">
      <c r="T393" s="3" t="s">
        <v>1124</v>
      </c>
      <c r="U393" s="3" t="s">
        <v>1151</v>
      </c>
      <c r="V393" s="3">
        <v>49699.61</v>
      </c>
      <c r="W393" s="3">
        <v>15925.32</v>
      </c>
      <c r="X393" s="3">
        <f t="shared" si="18"/>
        <v>1.2361893680671744E-4</v>
      </c>
      <c r="Y393" s="3">
        <f t="shared" si="19"/>
        <v>4.2948016915909025E-5</v>
      </c>
      <c r="Z393" s="3">
        <f t="shared" si="20"/>
        <v>-8.0670919890808409E-5</v>
      </c>
    </row>
    <row r="394" spans="20:26" x14ac:dyDescent="0.25">
      <c r="T394" s="3" t="s">
        <v>1140</v>
      </c>
      <c r="U394" s="3" t="s">
        <v>1169</v>
      </c>
      <c r="V394" s="3">
        <v>44774.16</v>
      </c>
      <c r="W394" s="3">
        <v>8901.6</v>
      </c>
      <c r="X394" s="3">
        <f t="shared" si="18"/>
        <v>1.1136775631868852E-4</v>
      </c>
      <c r="Y394" s="3">
        <f t="shared" si="19"/>
        <v>2.4006178047201298E-5</v>
      </c>
      <c r="Z394" s="3">
        <f t="shared" si="20"/>
        <v>-8.7361578271487219E-5</v>
      </c>
    </row>
    <row r="395" spans="20:26" x14ac:dyDescent="0.25">
      <c r="T395" s="3" t="s">
        <v>1142</v>
      </c>
      <c r="U395" s="3" t="s">
        <v>1171</v>
      </c>
      <c r="V395" s="3">
        <v>47415.86</v>
      </c>
      <c r="W395" s="3">
        <v>8453.1200000000008</v>
      </c>
      <c r="X395" s="3">
        <f t="shared" si="18"/>
        <v>1.1793851503012118E-4</v>
      </c>
      <c r="Y395" s="3">
        <f t="shared" si="19"/>
        <v>2.2796699893767216E-5</v>
      </c>
      <c r="Z395" s="3">
        <f t="shared" si="20"/>
        <v>-9.5141815136353967E-5</v>
      </c>
    </row>
    <row r="396" spans="20:26" x14ac:dyDescent="0.25">
      <c r="T396" s="3" t="s">
        <v>850</v>
      </c>
      <c r="U396" s="3" t="s">
        <v>853</v>
      </c>
      <c r="V396" s="3">
        <v>353825.34</v>
      </c>
      <c r="W396" s="3">
        <v>290934.65000000002</v>
      </c>
      <c r="X396" s="3">
        <f t="shared" si="18"/>
        <v>8.8007757698853795E-4</v>
      </c>
      <c r="Y396" s="3">
        <f t="shared" si="19"/>
        <v>7.8460377999462947E-4</v>
      </c>
      <c r="Z396" s="3">
        <f t="shared" si="20"/>
        <v>-9.5473796993908477E-5</v>
      </c>
    </row>
    <row r="397" spans="20:26" x14ac:dyDescent="0.25">
      <c r="T397" s="3" t="s">
        <v>1004</v>
      </c>
      <c r="U397" s="3" t="s">
        <v>1040</v>
      </c>
      <c r="V397" s="3">
        <v>83723.34</v>
      </c>
      <c r="W397" s="3">
        <v>41654.019999999997</v>
      </c>
      <c r="X397" s="3">
        <f t="shared" si="18"/>
        <v>2.0824691132802282E-4</v>
      </c>
      <c r="Y397" s="3">
        <f t="shared" si="19"/>
        <v>1.1233416694770421E-4</v>
      </c>
      <c r="Z397" s="3">
        <f t="shared" si="20"/>
        <v>-9.5912744380318614E-5</v>
      </c>
    </row>
    <row r="398" spans="20:26" x14ac:dyDescent="0.25">
      <c r="T398" s="3" t="s">
        <v>990</v>
      </c>
      <c r="U398" s="3" t="s">
        <v>1026</v>
      </c>
      <c r="V398" s="3">
        <v>98194.45</v>
      </c>
      <c r="W398" s="3">
        <v>54968.88</v>
      </c>
      <c r="X398" s="3">
        <f t="shared" si="18"/>
        <v>2.4424122260356516E-4</v>
      </c>
      <c r="Y398" s="3">
        <f t="shared" si="19"/>
        <v>1.4824219469929478E-4</v>
      </c>
      <c r="Z398" s="3">
        <f t="shared" si="20"/>
        <v>-9.599902790427038E-5</v>
      </c>
    </row>
    <row r="399" spans="20:26" x14ac:dyDescent="0.25">
      <c r="T399" s="3" t="s">
        <v>996</v>
      </c>
      <c r="U399" s="3" t="s">
        <v>1032</v>
      </c>
      <c r="V399" s="3">
        <v>94212.87</v>
      </c>
      <c r="W399" s="3">
        <v>49969.34</v>
      </c>
      <c r="X399" s="3">
        <f t="shared" si="18"/>
        <v>2.3433775079743048E-4</v>
      </c>
      <c r="Y399" s="3">
        <f t="shared" si="19"/>
        <v>1.3475924248911855E-4</v>
      </c>
      <c r="Z399" s="3">
        <f t="shared" si="20"/>
        <v>-9.9578508308311933E-5</v>
      </c>
    </row>
    <row r="400" spans="20:26" x14ac:dyDescent="0.25">
      <c r="T400" s="3" t="s">
        <v>986</v>
      </c>
      <c r="U400" s="3" t="s">
        <v>1022</v>
      </c>
      <c r="V400" s="3">
        <v>105661.63</v>
      </c>
      <c r="W400" s="3">
        <v>60442.74</v>
      </c>
      <c r="X400" s="3">
        <f t="shared" si="18"/>
        <v>2.6281450421572239E-4</v>
      </c>
      <c r="Y400" s="3">
        <f t="shared" si="19"/>
        <v>1.6300431137106764E-4</v>
      </c>
      <c r="Z400" s="3">
        <f t="shared" si="20"/>
        <v>-9.981019284465475E-5</v>
      </c>
    </row>
    <row r="401" spans="20:26" x14ac:dyDescent="0.25">
      <c r="T401" s="3" t="s">
        <v>1000</v>
      </c>
      <c r="U401" s="3" t="s">
        <v>1036</v>
      </c>
      <c r="V401" s="3">
        <v>89410.35</v>
      </c>
      <c r="W401" s="3">
        <v>44700.99</v>
      </c>
      <c r="X401" s="3">
        <f t="shared" si="18"/>
        <v>2.2239233681142545E-4</v>
      </c>
      <c r="Y401" s="3">
        <f t="shared" si="19"/>
        <v>1.2055135310799909E-4</v>
      </c>
      <c r="Z401" s="3">
        <f t="shared" si="20"/>
        <v>-1.0184098370342636E-4</v>
      </c>
    </row>
    <row r="402" spans="20:26" x14ac:dyDescent="0.25">
      <c r="T402" s="3" t="s">
        <v>985</v>
      </c>
      <c r="U402" s="3" t="s">
        <v>1021</v>
      </c>
      <c r="V402" s="3">
        <v>109161.49</v>
      </c>
      <c r="W402" s="3">
        <v>61586.720000000001</v>
      </c>
      <c r="X402" s="3">
        <f t="shared" si="18"/>
        <v>2.7151978323445832E-4</v>
      </c>
      <c r="Y402" s="3">
        <f t="shared" si="19"/>
        <v>1.6608944073684878E-4</v>
      </c>
      <c r="Z402" s="3">
        <f t="shared" si="20"/>
        <v>-1.0543034249760954E-4</v>
      </c>
    </row>
    <row r="403" spans="20:26" x14ac:dyDescent="0.25">
      <c r="T403" s="3" t="s">
        <v>611</v>
      </c>
      <c r="U403" s="3" t="s">
        <v>623</v>
      </c>
      <c r="V403" s="3">
        <v>2326994.91</v>
      </c>
      <c r="W403" s="3">
        <v>2105222.62</v>
      </c>
      <c r="X403" s="3">
        <f t="shared" si="18"/>
        <v>5.787985795639908E-3</v>
      </c>
      <c r="Y403" s="3">
        <f t="shared" si="19"/>
        <v>5.6774455204362815E-3</v>
      </c>
      <c r="Z403" s="3">
        <f t="shared" si="20"/>
        <v>-1.105402752036265E-4</v>
      </c>
    </row>
    <row r="404" spans="20:26" x14ac:dyDescent="0.25">
      <c r="T404" s="3" t="s">
        <v>1196</v>
      </c>
      <c r="U404" s="3" t="s">
        <v>1211</v>
      </c>
      <c r="V404" s="3">
        <v>52639.25</v>
      </c>
      <c r="W404" s="3">
        <v>7530.66</v>
      </c>
      <c r="X404" s="3">
        <f t="shared" si="18"/>
        <v>1.3093076825558591E-4</v>
      </c>
      <c r="Y404" s="3">
        <f t="shared" si="19"/>
        <v>2.0308974203843907E-5</v>
      </c>
      <c r="Z404" s="3">
        <f t="shared" si="20"/>
        <v>-1.10621794051742E-4</v>
      </c>
    </row>
    <row r="405" spans="20:26" x14ac:dyDescent="0.25">
      <c r="T405" s="3" t="s">
        <v>1136</v>
      </c>
      <c r="U405" s="3" t="s">
        <v>1165</v>
      </c>
      <c r="V405" s="3">
        <v>57218.53</v>
      </c>
      <c r="W405" s="3">
        <v>10043.709999999999</v>
      </c>
      <c r="X405" s="3">
        <f t="shared" si="18"/>
        <v>1.4232091246275906E-4</v>
      </c>
      <c r="Y405" s="3">
        <f t="shared" si="19"/>
        <v>2.7086264324891718E-5</v>
      </c>
      <c r="Z405" s="3">
        <f t="shared" si="20"/>
        <v>-1.1523464813786734E-4</v>
      </c>
    </row>
    <row r="406" spans="20:26" x14ac:dyDescent="0.25">
      <c r="T406" s="3" t="s">
        <v>1122</v>
      </c>
      <c r="U406" s="3" t="s">
        <v>1149</v>
      </c>
      <c r="V406" s="3">
        <v>64518.86</v>
      </c>
      <c r="W406" s="3">
        <v>16222.23</v>
      </c>
      <c r="X406" s="3">
        <f t="shared" si="18"/>
        <v>1.6047918438759275E-4</v>
      </c>
      <c r="Y406" s="3">
        <f t="shared" si="19"/>
        <v>4.3748735250140457E-5</v>
      </c>
      <c r="Z406" s="3">
        <f t="shared" si="20"/>
        <v>-1.167304491374523E-4</v>
      </c>
    </row>
    <row r="407" spans="20:26" x14ac:dyDescent="0.25">
      <c r="T407" s="3" t="s">
        <v>952</v>
      </c>
      <c r="U407" s="3" t="s">
        <v>963</v>
      </c>
      <c r="V407" s="3">
        <v>138762.03</v>
      </c>
      <c r="W407" s="3">
        <v>84464.41</v>
      </c>
      <c r="X407" s="3">
        <f t="shared" si="18"/>
        <v>3.4514585965044451E-4</v>
      </c>
      <c r="Y407" s="3">
        <f t="shared" si="19"/>
        <v>2.2778687709083871E-4</v>
      </c>
      <c r="Z407" s="3">
        <f t="shared" si="20"/>
        <v>-1.173589825596058E-4</v>
      </c>
    </row>
    <row r="408" spans="20:26" x14ac:dyDescent="0.25">
      <c r="T408" s="3" t="s">
        <v>1127</v>
      </c>
      <c r="U408" s="3" t="s">
        <v>1154</v>
      </c>
      <c r="V408" s="3">
        <v>62716.480000000003</v>
      </c>
      <c r="W408" s="3">
        <v>14093.93</v>
      </c>
      <c r="X408" s="3">
        <f t="shared" si="18"/>
        <v>1.5599608483567089E-4</v>
      </c>
      <c r="Y408" s="3">
        <f t="shared" si="19"/>
        <v>3.8009053761659907E-5</v>
      </c>
      <c r="Z408" s="3">
        <f t="shared" si="20"/>
        <v>-1.1798703107401099E-4</v>
      </c>
    </row>
    <row r="409" spans="20:26" x14ac:dyDescent="0.25">
      <c r="T409" s="3" t="s">
        <v>1076</v>
      </c>
      <c r="U409" s="3" t="s">
        <v>1082</v>
      </c>
      <c r="V409" s="3">
        <v>81213.7</v>
      </c>
      <c r="W409" s="3">
        <v>30866.36</v>
      </c>
      <c r="X409" s="3">
        <f t="shared" si="18"/>
        <v>2.0200462836911007E-4</v>
      </c>
      <c r="Y409" s="3">
        <f t="shared" si="19"/>
        <v>8.3241589582660672E-5</v>
      </c>
      <c r="Z409" s="3">
        <f t="shared" si="20"/>
        <v>-1.187630387864494E-4</v>
      </c>
    </row>
    <row r="410" spans="20:26" x14ac:dyDescent="0.25">
      <c r="T410" s="3" t="s">
        <v>1107</v>
      </c>
      <c r="U410" s="3" t="s">
        <v>1111</v>
      </c>
      <c r="V410" s="3">
        <v>75097.740000000005</v>
      </c>
      <c r="W410" s="3">
        <v>22672.41</v>
      </c>
      <c r="X410" s="3">
        <f t="shared" si="18"/>
        <v>1.8679226608392494E-4</v>
      </c>
      <c r="Y410" s="3">
        <f t="shared" si="19"/>
        <v>6.1143829336203289E-5</v>
      </c>
      <c r="Z410" s="3">
        <f t="shared" si="20"/>
        <v>-1.2564843674772166E-4</v>
      </c>
    </row>
    <row r="411" spans="20:26" x14ac:dyDescent="0.25">
      <c r="T411" s="3" t="s">
        <v>981</v>
      </c>
      <c r="U411" s="3" t="s">
        <v>1016</v>
      </c>
      <c r="V411" s="3">
        <v>125676.99</v>
      </c>
      <c r="W411" s="3">
        <v>67004.7</v>
      </c>
      <c r="X411" s="3">
        <f t="shared" si="18"/>
        <v>3.1259915087600201E-4</v>
      </c>
      <c r="Y411" s="3">
        <f t="shared" si="19"/>
        <v>1.807008580703816E-4</v>
      </c>
      <c r="Z411" s="3">
        <f t="shared" si="20"/>
        <v>-1.3189829280562041E-4</v>
      </c>
    </row>
    <row r="412" spans="20:26" x14ac:dyDescent="0.25">
      <c r="T412" s="3" t="s">
        <v>896</v>
      </c>
      <c r="U412" s="3" t="s">
        <v>904</v>
      </c>
      <c r="V412" s="3">
        <v>285086.96999999997</v>
      </c>
      <c r="W412" s="3">
        <v>211724.08</v>
      </c>
      <c r="X412" s="3">
        <f t="shared" si="18"/>
        <v>7.0910311225477513E-4</v>
      </c>
      <c r="Y412" s="3">
        <f t="shared" si="19"/>
        <v>5.7098566115753246E-4</v>
      </c>
      <c r="Z412" s="3">
        <f t="shared" si="20"/>
        <v>-1.3811745109724267E-4</v>
      </c>
    </row>
    <row r="413" spans="20:26" x14ac:dyDescent="0.25">
      <c r="T413" s="3" t="s">
        <v>930</v>
      </c>
      <c r="U413" s="3" t="s">
        <v>934</v>
      </c>
      <c r="V413" s="3">
        <v>202313.86</v>
      </c>
      <c r="W413" s="3">
        <v>134912.29</v>
      </c>
      <c r="X413" s="3">
        <f t="shared" si="18"/>
        <v>5.0321972897700957E-4</v>
      </c>
      <c r="Y413" s="3">
        <f t="shared" si="19"/>
        <v>3.6383666470023987E-4</v>
      </c>
      <c r="Z413" s="3">
        <f t="shared" si="20"/>
        <v>-1.393830642767697E-4</v>
      </c>
    </row>
    <row r="414" spans="20:26" x14ac:dyDescent="0.25">
      <c r="T414" s="3" t="s">
        <v>943</v>
      </c>
      <c r="U414" s="3" t="s">
        <v>954</v>
      </c>
      <c r="V414" s="3">
        <v>187482.49</v>
      </c>
      <c r="W414" s="3">
        <v>117441.65</v>
      </c>
      <c r="X414" s="3">
        <f t="shared" si="18"/>
        <v>4.6632933505264993E-4</v>
      </c>
      <c r="Y414" s="3">
        <f t="shared" si="19"/>
        <v>3.1672116923441831E-4</v>
      </c>
      <c r="Z414" s="3">
        <f t="shared" si="20"/>
        <v>-1.4960816581823162E-4</v>
      </c>
    </row>
    <row r="415" spans="20:26" x14ac:dyDescent="0.25">
      <c r="T415" s="3" t="s">
        <v>1063</v>
      </c>
      <c r="U415" s="3" t="s">
        <v>1068</v>
      </c>
      <c r="V415" s="3">
        <v>105924.52</v>
      </c>
      <c r="W415" s="3">
        <v>40592.76</v>
      </c>
      <c r="X415" s="3">
        <f t="shared" si="18"/>
        <v>2.6346839631461648E-4</v>
      </c>
      <c r="Y415" s="3">
        <f t="shared" si="19"/>
        <v>1.0947212006687685E-4</v>
      </c>
      <c r="Z415" s="3">
        <f t="shared" si="20"/>
        <v>-1.5399627624773963E-4</v>
      </c>
    </row>
    <row r="416" spans="20:26" x14ac:dyDescent="0.25">
      <c r="T416" s="3" t="s">
        <v>945</v>
      </c>
      <c r="U416" s="3" t="s">
        <v>956</v>
      </c>
      <c r="V416" s="3">
        <v>178460.12</v>
      </c>
      <c r="W416" s="3">
        <v>107242.26</v>
      </c>
      <c r="X416" s="3">
        <f t="shared" si="18"/>
        <v>4.4388779503097125E-4</v>
      </c>
      <c r="Y416" s="3">
        <f t="shared" si="19"/>
        <v>2.8921506108387863E-4</v>
      </c>
      <c r="Z416" s="3">
        <f t="shared" si="20"/>
        <v>-1.5467273394709262E-4</v>
      </c>
    </row>
    <row r="417" spans="20:26" x14ac:dyDescent="0.25">
      <c r="T417" s="3" t="s">
        <v>993</v>
      </c>
      <c r="U417" s="3" t="s">
        <v>1029</v>
      </c>
      <c r="V417" s="3">
        <v>121603.83</v>
      </c>
      <c r="W417" s="3">
        <v>52084.47</v>
      </c>
      <c r="X417" s="3">
        <f t="shared" si="18"/>
        <v>3.0246789011472743E-4</v>
      </c>
      <c r="Y417" s="3">
        <f t="shared" si="19"/>
        <v>1.4046340661388006E-4</v>
      </c>
      <c r="Z417" s="3">
        <f t="shared" si="20"/>
        <v>-1.6200448350084737E-4</v>
      </c>
    </row>
    <row r="418" spans="20:26" x14ac:dyDescent="0.25">
      <c r="T418" s="3" t="s">
        <v>773</v>
      </c>
      <c r="U418" s="3" t="s">
        <v>794</v>
      </c>
      <c r="V418" s="3">
        <v>618904.94999999995</v>
      </c>
      <c r="W418" s="3">
        <v>510526.06</v>
      </c>
      <c r="X418" s="3">
        <f t="shared" si="18"/>
        <v>1.5394159411595907E-3</v>
      </c>
      <c r="Y418" s="3">
        <f t="shared" si="19"/>
        <v>1.3768063599910322E-3</v>
      </c>
      <c r="Z418" s="3">
        <f t="shared" si="20"/>
        <v>-1.6260958116855856E-4</v>
      </c>
    </row>
    <row r="419" spans="20:26" x14ac:dyDescent="0.25">
      <c r="T419" s="3" t="s">
        <v>824</v>
      </c>
      <c r="U419" s="3" t="s">
        <v>834</v>
      </c>
      <c r="V419" s="3">
        <v>472125.13</v>
      </c>
      <c r="W419" s="3">
        <v>373917.38</v>
      </c>
      <c r="X419" s="3">
        <f t="shared" si="18"/>
        <v>1.1743272554922111E-3</v>
      </c>
      <c r="Y419" s="3">
        <f t="shared" si="19"/>
        <v>1.0083948053409529E-3</v>
      </c>
      <c r="Z419" s="3">
        <f t="shared" si="20"/>
        <v>-1.6593245015125821E-4</v>
      </c>
    </row>
    <row r="420" spans="20:26" x14ac:dyDescent="0.25">
      <c r="T420" s="3">
        <v>90371</v>
      </c>
      <c r="U420" s="3" t="s">
        <v>1019</v>
      </c>
      <c r="V420" s="3">
        <v>137212.26</v>
      </c>
      <c r="W420" s="3">
        <v>63082.52</v>
      </c>
      <c r="X420" s="3">
        <f t="shared" si="18"/>
        <v>3.4129108252654058E-4</v>
      </c>
      <c r="Y420" s="3">
        <f t="shared" si="19"/>
        <v>1.7012337184170676E-4</v>
      </c>
      <c r="Z420" s="3">
        <f t="shared" si="20"/>
        <v>-1.7116771068483383E-4</v>
      </c>
    </row>
    <row r="421" spans="20:26" x14ac:dyDescent="0.25">
      <c r="T421" s="3" t="s">
        <v>951</v>
      </c>
      <c r="U421" s="3" t="s">
        <v>962</v>
      </c>
      <c r="V421" s="3">
        <v>167193.31</v>
      </c>
      <c r="W421" s="3">
        <v>89226.6</v>
      </c>
      <c r="X421" s="3">
        <f t="shared" si="18"/>
        <v>4.1586360986325477E-4</v>
      </c>
      <c r="Y421" s="3">
        <f t="shared" si="19"/>
        <v>2.4062973467089193E-4</v>
      </c>
      <c r="Z421" s="3">
        <f t="shared" si="20"/>
        <v>-1.7523387519236284E-4</v>
      </c>
    </row>
    <row r="422" spans="20:26" x14ac:dyDescent="0.25">
      <c r="T422" s="3" t="s">
        <v>874</v>
      </c>
      <c r="U422" s="3" t="s">
        <v>878</v>
      </c>
      <c r="V422" s="3">
        <v>337486.07</v>
      </c>
      <c r="W422" s="3">
        <v>241529.68</v>
      </c>
      <c r="X422" s="3">
        <f t="shared" si="18"/>
        <v>8.3943655011533115E-4</v>
      </c>
      <c r="Y422" s="3">
        <f t="shared" si="19"/>
        <v>6.5136655227864145E-4</v>
      </c>
      <c r="Z422" s="3">
        <f t="shared" si="20"/>
        <v>-1.880699978366897E-4</v>
      </c>
    </row>
    <row r="423" spans="20:26" x14ac:dyDescent="0.25">
      <c r="T423" s="3" t="s">
        <v>831</v>
      </c>
      <c r="U423" s="3" t="s">
        <v>841</v>
      </c>
      <c r="V423" s="3">
        <v>435541.65</v>
      </c>
      <c r="W423" s="3">
        <v>331573.95</v>
      </c>
      <c r="X423" s="3">
        <f t="shared" si="18"/>
        <v>1.0833323583030821E-3</v>
      </c>
      <c r="Y423" s="3">
        <f t="shared" si="19"/>
        <v>8.9420141092767835E-4</v>
      </c>
      <c r="Z423" s="3">
        <f t="shared" si="20"/>
        <v>-1.8913094737540374E-4</v>
      </c>
    </row>
    <row r="424" spans="20:26" x14ac:dyDescent="0.25">
      <c r="T424" s="3">
        <v>90714</v>
      </c>
      <c r="U424" s="3" t="s">
        <v>658</v>
      </c>
      <c r="V424" s="3">
        <v>1804679.65</v>
      </c>
      <c r="W424" s="3">
        <v>1592124.46</v>
      </c>
      <c r="X424" s="3">
        <f t="shared" si="18"/>
        <v>4.4888195221193666E-3</v>
      </c>
      <c r="Y424" s="3">
        <f t="shared" si="19"/>
        <v>4.2937026220077534E-3</v>
      </c>
      <c r="Z424" s="3">
        <f t="shared" si="20"/>
        <v>-1.9511690011161324E-4</v>
      </c>
    </row>
    <row r="425" spans="20:26" x14ac:dyDescent="0.25">
      <c r="T425" s="3" t="s">
        <v>971</v>
      </c>
      <c r="U425" s="3" t="s">
        <v>1006</v>
      </c>
      <c r="V425" s="3">
        <v>170044.01</v>
      </c>
      <c r="W425" s="3">
        <v>82737.33</v>
      </c>
      <c r="X425" s="3">
        <f t="shared" si="18"/>
        <v>4.2295421888724732E-4</v>
      </c>
      <c r="Y425" s="3">
        <f t="shared" si="19"/>
        <v>2.2312922116586337E-4</v>
      </c>
      <c r="Z425" s="3">
        <f t="shared" si="20"/>
        <v>-1.9982499772138395E-4</v>
      </c>
    </row>
    <row r="426" spans="20:26" x14ac:dyDescent="0.25">
      <c r="T426" s="3" t="s">
        <v>1001</v>
      </c>
      <c r="U426" s="3" t="s">
        <v>1037</v>
      </c>
      <c r="V426" s="3">
        <v>128797.97</v>
      </c>
      <c r="W426" s="3">
        <v>43542.3</v>
      </c>
      <c r="X426" s="3">
        <f t="shared" si="18"/>
        <v>3.2036203330898343E-4</v>
      </c>
      <c r="Y426" s="3">
        <f t="shared" si="19"/>
        <v>1.1742655324713008E-4</v>
      </c>
      <c r="Z426" s="3">
        <f t="shared" si="20"/>
        <v>-2.0293548006185334E-4</v>
      </c>
    </row>
    <row r="427" spans="20:26" x14ac:dyDescent="0.25">
      <c r="T427" s="3" t="s">
        <v>1080</v>
      </c>
      <c r="U427" s="3" t="s">
        <v>1086</v>
      </c>
      <c r="V427" s="3">
        <v>112649.06</v>
      </c>
      <c r="W427" s="3">
        <v>28303.57</v>
      </c>
      <c r="X427" s="3">
        <f t="shared" si="18"/>
        <v>2.8019449306495805E-4</v>
      </c>
      <c r="Y427" s="3">
        <f t="shared" si="19"/>
        <v>7.6330158712077073E-5</v>
      </c>
      <c r="Z427" s="3">
        <f t="shared" si="20"/>
        <v>-2.0386433435288099E-4</v>
      </c>
    </row>
    <row r="428" spans="20:26" x14ac:dyDescent="0.25">
      <c r="T428" s="3" t="s">
        <v>781</v>
      </c>
      <c r="U428" s="3" t="s">
        <v>802</v>
      </c>
      <c r="V428" s="3">
        <v>584542.54</v>
      </c>
      <c r="W428" s="3">
        <v>461566.88</v>
      </c>
      <c r="X428" s="3">
        <f t="shared" si="18"/>
        <v>1.4539455603997315E-3</v>
      </c>
      <c r="Y428" s="3">
        <f t="shared" si="19"/>
        <v>1.2447713559327756E-3</v>
      </c>
      <c r="Z428" s="3">
        <f t="shared" si="20"/>
        <v>-2.0917420446695586E-4</v>
      </c>
    </row>
    <row r="429" spans="20:26" x14ac:dyDescent="0.25">
      <c r="T429" s="3">
        <v>90632</v>
      </c>
      <c r="U429" s="3" t="s">
        <v>1219</v>
      </c>
      <c r="V429" s="3">
        <v>98033.4</v>
      </c>
      <c r="W429" s="3">
        <v>6230.07</v>
      </c>
      <c r="X429" s="3">
        <f t="shared" si="18"/>
        <v>2.4384063938424569E-4</v>
      </c>
      <c r="Y429" s="3">
        <f t="shared" si="19"/>
        <v>1.6801492952562166E-5</v>
      </c>
      <c r="Z429" s="3">
        <f t="shared" si="20"/>
        <v>-2.2703914643168352E-4</v>
      </c>
    </row>
    <row r="430" spans="20:26" x14ac:dyDescent="0.25">
      <c r="T430" s="3" t="s">
        <v>830</v>
      </c>
      <c r="U430" s="3" t="s">
        <v>840</v>
      </c>
      <c r="V430" s="3">
        <v>472469.45</v>
      </c>
      <c r="W430" s="3">
        <v>342344.1</v>
      </c>
      <c r="X430" s="3">
        <f t="shared" si="18"/>
        <v>1.175183690227238E-3</v>
      </c>
      <c r="Y430" s="3">
        <f t="shared" si="19"/>
        <v>9.2324676664969053E-4</v>
      </c>
      <c r="Z430" s="3">
        <f t="shared" si="20"/>
        <v>-2.5193692357754747E-4</v>
      </c>
    </row>
    <row r="431" spans="20:26" x14ac:dyDescent="0.25">
      <c r="T431" s="3" t="s">
        <v>1003</v>
      </c>
      <c r="U431" s="3" t="s">
        <v>1039</v>
      </c>
      <c r="V431" s="3">
        <v>149449.42000000001</v>
      </c>
      <c r="W431" s="3">
        <v>42285.07</v>
      </c>
      <c r="X431" s="3">
        <f t="shared" si="18"/>
        <v>3.7172884066455597E-4</v>
      </c>
      <c r="Y431" s="3">
        <f t="shared" si="19"/>
        <v>1.1403600691542759E-4</v>
      </c>
      <c r="Z431" s="3">
        <f t="shared" si="20"/>
        <v>-2.576928337491284E-4</v>
      </c>
    </row>
    <row r="432" spans="20:26" x14ac:dyDescent="0.25">
      <c r="T432" s="3" t="s">
        <v>743</v>
      </c>
      <c r="U432" s="3" t="s">
        <v>745</v>
      </c>
      <c r="V432" s="3">
        <v>888939.19</v>
      </c>
      <c r="W432" s="3">
        <v>723714.17</v>
      </c>
      <c r="X432" s="3">
        <f t="shared" si="18"/>
        <v>2.2110780658766652E-3</v>
      </c>
      <c r="Y432" s="3">
        <f t="shared" si="19"/>
        <v>1.9517402736926519E-3</v>
      </c>
      <c r="Z432" s="3">
        <f t="shared" si="20"/>
        <v>-2.5933779218401337E-4</v>
      </c>
    </row>
    <row r="433" spans="20:26" x14ac:dyDescent="0.25">
      <c r="T433" s="3" t="s">
        <v>829</v>
      </c>
      <c r="U433" s="3" t="s">
        <v>839</v>
      </c>
      <c r="V433" s="3">
        <v>498555.59</v>
      </c>
      <c r="W433" s="3">
        <v>362712.8</v>
      </c>
      <c r="X433" s="3">
        <f t="shared" si="18"/>
        <v>1.2400683219615954E-3</v>
      </c>
      <c r="Y433" s="3">
        <f t="shared" si="19"/>
        <v>9.7817786204715046E-4</v>
      </c>
      <c r="Z433" s="3">
        <f t="shared" si="20"/>
        <v>-2.6189045991444494E-4</v>
      </c>
    </row>
    <row r="434" spans="20:26" x14ac:dyDescent="0.25">
      <c r="T434" s="3" t="s">
        <v>734</v>
      </c>
      <c r="U434" s="3" t="s">
        <v>735</v>
      </c>
      <c r="V434" s="3">
        <v>940721.64</v>
      </c>
      <c r="W434" s="3">
        <v>767149.04</v>
      </c>
      <c r="X434" s="3">
        <f t="shared" si="18"/>
        <v>2.3398776965829629E-3</v>
      </c>
      <c r="Y434" s="3">
        <f t="shared" si="19"/>
        <v>2.0688771055742284E-3</v>
      </c>
      <c r="Z434" s="3">
        <f t="shared" si="20"/>
        <v>-2.7100059100873455E-4</v>
      </c>
    </row>
    <row r="435" spans="20:26" x14ac:dyDescent="0.25">
      <c r="T435" s="3" t="s">
        <v>980</v>
      </c>
      <c r="U435" s="3" t="s">
        <v>1015</v>
      </c>
      <c r="V435" s="3">
        <v>197026.38</v>
      </c>
      <c r="W435" s="3">
        <v>67562.94</v>
      </c>
      <c r="X435" s="3">
        <f t="shared" si="18"/>
        <v>4.900680632801001E-4</v>
      </c>
      <c r="Y435" s="3">
        <f t="shared" si="19"/>
        <v>1.8220634122319341E-4</v>
      </c>
      <c r="Z435" s="3">
        <f t="shared" si="20"/>
        <v>-3.0786172205690666E-4</v>
      </c>
    </row>
    <row r="436" spans="20:26" x14ac:dyDescent="0.25">
      <c r="T436" s="3" t="s">
        <v>902</v>
      </c>
      <c r="U436" s="3" t="s">
        <v>911</v>
      </c>
      <c r="V436" s="3">
        <v>310995.31</v>
      </c>
      <c r="W436" s="3">
        <v>151364.03</v>
      </c>
      <c r="X436" s="3">
        <f t="shared" si="18"/>
        <v>7.7354549812514621E-4</v>
      </c>
      <c r="Y436" s="3">
        <f t="shared" si="19"/>
        <v>4.0820435136626211E-4</v>
      </c>
      <c r="Z436" s="3">
        <f t="shared" si="20"/>
        <v>-3.6534114675888411E-4</v>
      </c>
    </row>
    <row r="437" spans="20:26" x14ac:dyDescent="0.25">
      <c r="T437" s="3" t="s">
        <v>768</v>
      </c>
      <c r="U437" s="3" t="s">
        <v>789</v>
      </c>
      <c r="V437" s="3">
        <v>771011.7</v>
      </c>
      <c r="W437" s="3">
        <v>571773.80000000005</v>
      </c>
      <c r="X437" s="3">
        <f t="shared" si="18"/>
        <v>1.9177544173795281E-3</v>
      </c>
      <c r="Y437" s="3">
        <f t="shared" si="19"/>
        <v>1.5419816263958015E-3</v>
      </c>
      <c r="Z437" s="3">
        <f t="shared" si="20"/>
        <v>-3.7577279098372656E-4</v>
      </c>
    </row>
    <row r="438" spans="20:26" x14ac:dyDescent="0.25">
      <c r="T438" s="3" t="s">
        <v>757</v>
      </c>
      <c r="U438" s="3" t="s">
        <v>763</v>
      </c>
      <c r="V438" s="3">
        <v>800832.6</v>
      </c>
      <c r="W438" s="3">
        <v>597889.12</v>
      </c>
      <c r="X438" s="3">
        <f t="shared" si="18"/>
        <v>1.9919286000867854E-3</v>
      </c>
      <c r="Y438" s="3">
        <f t="shared" si="19"/>
        <v>1.6124104281482546E-3</v>
      </c>
      <c r="Z438" s="3">
        <f t="shared" si="20"/>
        <v>-3.7951817193853082E-4</v>
      </c>
    </row>
    <row r="439" spans="20:26" x14ac:dyDescent="0.25">
      <c r="T439" s="3" t="s">
        <v>1092</v>
      </c>
      <c r="U439" s="3" t="s">
        <v>1098</v>
      </c>
      <c r="V439" s="3">
        <v>181070.97</v>
      </c>
      <c r="W439" s="3">
        <v>25495.94</v>
      </c>
      <c r="X439" s="3">
        <f t="shared" si="18"/>
        <v>4.5038181985655474E-4</v>
      </c>
      <c r="Y439" s="3">
        <f t="shared" si="19"/>
        <v>6.8758433890622075E-5</v>
      </c>
      <c r="Z439" s="3">
        <f t="shared" si="20"/>
        <v>-3.8162338596593265E-4</v>
      </c>
    </row>
    <row r="440" spans="20:26" x14ac:dyDescent="0.25">
      <c r="T440" s="3" t="s">
        <v>851</v>
      </c>
      <c r="U440" s="3" t="s">
        <v>854</v>
      </c>
      <c r="V440" s="3">
        <v>467719.41</v>
      </c>
      <c r="W440" s="3">
        <v>285841.34000000003</v>
      </c>
      <c r="X440" s="3">
        <f t="shared" si="18"/>
        <v>1.1633688109034489E-3</v>
      </c>
      <c r="Y440" s="3">
        <f t="shared" si="19"/>
        <v>7.7086794523350893E-4</v>
      </c>
      <c r="Z440" s="3">
        <f t="shared" si="20"/>
        <v>-3.9250086566993997E-4</v>
      </c>
    </row>
    <row r="441" spans="20:26" x14ac:dyDescent="0.25">
      <c r="T441" s="3" t="s">
        <v>1002</v>
      </c>
      <c r="U441" s="3" t="s">
        <v>1038</v>
      </c>
      <c r="V441" s="3">
        <v>215557.69</v>
      </c>
      <c r="W441" s="3">
        <v>42812.15</v>
      </c>
      <c r="X441" s="3">
        <f t="shared" si="18"/>
        <v>5.3616139962289408E-4</v>
      </c>
      <c r="Y441" s="3">
        <f t="shared" si="19"/>
        <v>1.1545745657898457E-4</v>
      </c>
      <c r="Z441" s="3">
        <f t="shared" si="20"/>
        <v>-4.2070394304390948E-4</v>
      </c>
    </row>
    <row r="442" spans="20:26" x14ac:dyDescent="0.25">
      <c r="T442" s="3" t="s">
        <v>1106</v>
      </c>
      <c r="U442" s="3" t="s">
        <v>1110</v>
      </c>
      <c r="V442" s="3">
        <v>199827.78</v>
      </c>
      <c r="W442" s="3">
        <v>22788.03</v>
      </c>
      <c r="X442" s="3">
        <f t="shared" si="18"/>
        <v>4.9703604732605818E-4</v>
      </c>
      <c r="Y442" s="3">
        <f t="shared" si="19"/>
        <v>6.1455637809490946E-5</v>
      </c>
      <c r="Z442" s="3">
        <f t="shared" si="20"/>
        <v>-4.3558040951656722E-4</v>
      </c>
    </row>
    <row r="443" spans="20:26" x14ac:dyDescent="0.25">
      <c r="T443" s="3" t="s">
        <v>921</v>
      </c>
      <c r="U443" s="3" t="s">
        <v>925</v>
      </c>
      <c r="V443" s="3">
        <v>330574.15000000002</v>
      </c>
      <c r="W443" s="3">
        <v>141305.67000000001</v>
      </c>
      <c r="X443" s="3">
        <f t="shared" si="18"/>
        <v>8.2224437895557587E-4</v>
      </c>
      <c r="Y443" s="3">
        <f t="shared" si="19"/>
        <v>3.8107857835659561E-4</v>
      </c>
      <c r="Z443" s="3">
        <f t="shared" si="20"/>
        <v>-4.4116580059898027E-4</v>
      </c>
    </row>
    <row r="444" spans="20:26" x14ac:dyDescent="0.25">
      <c r="T444" s="3" t="s">
        <v>754</v>
      </c>
      <c r="U444" s="3" t="s">
        <v>760</v>
      </c>
      <c r="V444" s="3">
        <v>863811.01</v>
      </c>
      <c r="W444" s="3">
        <v>618017.87</v>
      </c>
      <c r="X444" s="3">
        <f t="shared" si="18"/>
        <v>2.1485761891921638E-3</v>
      </c>
      <c r="Y444" s="3">
        <f t="shared" si="19"/>
        <v>1.6666944171353584E-3</v>
      </c>
      <c r="Z444" s="3">
        <f t="shared" si="20"/>
        <v>-4.818817720568054E-4</v>
      </c>
    </row>
    <row r="445" spans="20:26" x14ac:dyDescent="0.25">
      <c r="T445" s="3" t="s">
        <v>823</v>
      </c>
      <c r="U445" s="3" t="s">
        <v>833</v>
      </c>
      <c r="V445" s="3">
        <v>627454.69999999995</v>
      </c>
      <c r="W445" s="3">
        <v>388299.69</v>
      </c>
      <c r="X445" s="3">
        <f t="shared" si="18"/>
        <v>1.5606819230247046E-3</v>
      </c>
      <c r="Y445" s="3">
        <f t="shared" si="19"/>
        <v>1.0471815734040026E-3</v>
      </c>
      <c r="Z445" s="3">
        <f t="shared" si="20"/>
        <v>-5.1350034962070203E-4</v>
      </c>
    </row>
    <row r="446" spans="20:26" x14ac:dyDescent="0.25">
      <c r="T446" s="3" t="s">
        <v>778</v>
      </c>
      <c r="U446" s="3" t="s">
        <v>799</v>
      </c>
      <c r="V446" s="3">
        <v>732397.32</v>
      </c>
      <c r="W446" s="3">
        <v>474879.81</v>
      </c>
      <c r="X446" s="3">
        <f t="shared" si="18"/>
        <v>1.8217080177991174E-3</v>
      </c>
      <c r="Y446" s="3">
        <f t="shared" si="19"/>
        <v>1.2806741787859625E-3</v>
      </c>
      <c r="Z446" s="3">
        <f t="shared" si="20"/>
        <v>-5.4103383901315497E-4</v>
      </c>
    </row>
    <row r="447" spans="20:26" x14ac:dyDescent="0.25">
      <c r="T447" s="3" t="s">
        <v>770</v>
      </c>
      <c r="U447" s="3" t="s">
        <v>791</v>
      </c>
      <c r="V447" s="3">
        <v>789696.96</v>
      </c>
      <c r="W447" s="3">
        <v>527192.27</v>
      </c>
      <c r="X447" s="3">
        <f t="shared" si="18"/>
        <v>1.9642306769549469E-3</v>
      </c>
      <c r="Y447" s="3">
        <f t="shared" si="19"/>
        <v>1.4217524376211265E-3</v>
      </c>
      <c r="Z447" s="3">
        <f t="shared" si="20"/>
        <v>-5.4247823933382044E-4</v>
      </c>
    </row>
    <row r="448" spans="20:26" x14ac:dyDescent="0.25">
      <c r="T448" s="3" t="s">
        <v>744</v>
      </c>
      <c r="U448" s="3" t="s">
        <v>746</v>
      </c>
      <c r="V448" s="3">
        <v>1008401.67</v>
      </c>
      <c r="W448" s="3">
        <v>719893.08</v>
      </c>
      <c r="X448" s="3">
        <f t="shared" si="18"/>
        <v>2.5082197288775168E-3</v>
      </c>
      <c r="Y448" s="3">
        <f t="shared" si="19"/>
        <v>1.9414354108731157E-3</v>
      </c>
      <c r="Z448" s="3">
        <f t="shared" si="20"/>
        <v>-5.667843180044011E-4</v>
      </c>
    </row>
    <row r="449" spans="20:26" x14ac:dyDescent="0.25">
      <c r="T449" s="3" t="s">
        <v>619</v>
      </c>
      <c r="U449" s="3" t="s">
        <v>632</v>
      </c>
      <c r="V449" s="3">
        <v>2248295.5499999998</v>
      </c>
      <c r="W449" s="3">
        <v>1855531.15</v>
      </c>
      <c r="X449" s="3">
        <f t="shared" si="18"/>
        <v>5.5922351406434371E-3</v>
      </c>
      <c r="Y449" s="3">
        <f t="shared" si="19"/>
        <v>5.0040679382389883E-3</v>
      </c>
      <c r="Z449" s="3">
        <f t="shared" si="20"/>
        <v>-5.8816720240444879E-4</v>
      </c>
    </row>
    <row r="450" spans="20:26" x14ac:dyDescent="0.25">
      <c r="T450" s="3" t="s">
        <v>767</v>
      </c>
      <c r="U450" s="3" t="s">
        <v>788</v>
      </c>
      <c r="V450" s="3">
        <v>861032.72</v>
      </c>
      <c r="W450" s="3">
        <v>573116.12</v>
      </c>
      <c r="X450" s="3">
        <f t="shared" ref="X450:X513" si="21">V450/(R$2*12)</f>
        <v>2.1416656871592354E-3</v>
      </c>
      <c r="Y450" s="3">
        <f t="shared" ref="Y450:Y513" si="22">W450/(R$3*12)</f>
        <v>1.5456016467198239E-3</v>
      </c>
      <c r="Z450" s="3">
        <f t="shared" ref="Z450:Z513" si="23">Y450-X450</f>
        <v>-5.9606404043941147E-4</v>
      </c>
    </row>
    <row r="451" spans="20:26" x14ac:dyDescent="0.25">
      <c r="T451" s="3" t="s">
        <v>612</v>
      </c>
      <c r="U451" s="3" t="s">
        <v>624</v>
      </c>
      <c r="V451" s="3">
        <v>2506442.4700000002</v>
      </c>
      <c r="W451" s="3">
        <v>2089198.52</v>
      </c>
      <c r="X451" s="3">
        <f t="shared" si="21"/>
        <v>6.2343296719753489E-3</v>
      </c>
      <c r="Y451" s="3">
        <f t="shared" si="22"/>
        <v>5.6342311098082866E-3</v>
      </c>
      <c r="Z451" s="3">
        <f t="shared" si="23"/>
        <v>-6.0009856216706233E-4</v>
      </c>
    </row>
    <row r="452" spans="20:26" x14ac:dyDescent="0.25">
      <c r="T452" s="3" t="s">
        <v>784</v>
      </c>
      <c r="U452" s="3" t="s">
        <v>805</v>
      </c>
      <c r="V452" s="3">
        <v>733613.31</v>
      </c>
      <c r="W452" s="3">
        <v>445531.4</v>
      </c>
      <c r="X452" s="3">
        <f t="shared" si="21"/>
        <v>1.824732576562609E-3</v>
      </c>
      <c r="Y452" s="3">
        <f t="shared" si="22"/>
        <v>1.2015262552820686E-3</v>
      </c>
      <c r="Z452" s="3">
        <f t="shared" si="23"/>
        <v>-6.2320632128054043E-4</v>
      </c>
    </row>
    <row r="453" spans="20:26" x14ac:dyDescent="0.25">
      <c r="T453" s="3" t="s">
        <v>772</v>
      </c>
      <c r="U453" s="3" t="s">
        <v>793</v>
      </c>
      <c r="V453" s="3">
        <v>815484.93</v>
      </c>
      <c r="W453" s="3">
        <v>520505.23</v>
      </c>
      <c r="X453" s="3">
        <f t="shared" si="21"/>
        <v>2.0283736638677928E-3</v>
      </c>
      <c r="Y453" s="3">
        <f t="shared" si="22"/>
        <v>1.4037185703558307E-3</v>
      </c>
      <c r="Z453" s="3">
        <f t="shared" si="23"/>
        <v>-6.2465509351196206E-4</v>
      </c>
    </row>
    <row r="454" spans="20:26" x14ac:dyDescent="0.25">
      <c r="T454" s="3" t="s">
        <v>942</v>
      </c>
      <c r="U454" s="3" t="s">
        <v>953</v>
      </c>
      <c r="V454" s="3">
        <v>384297.78</v>
      </c>
      <c r="W454" s="3">
        <v>121491.34</v>
      </c>
      <c r="X454" s="3">
        <f t="shared" si="21"/>
        <v>9.5587234951706457E-4</v>
      </c>
      <c r="Y454" s="3">
        <f t="shared" si="22"/>
        <v>3.2764252934675437E-4</v>
      </c>
      <c r="Z454" s="3">
        <f t="shared" si="23"/>
        <v>-6.2822982017031025E-4</v>
      </c>
    </row>
    <row r="455" spans="20:26" x14ac:dyDescent="0.25">
      <c r="T455" s="3" t="s">
        <v>860</v>
      </c>
      <c r="U455" s="3" t="s">
        <v>866</v>
      </c>
      <c r="V455" s="3">
        <v>545996.89</v>
      </c>
      <c r="W455" s="3">
        <v>259491.61</v>
      </c>
      <c r="X455" s="3">
        <f t="shared" si="21"/>
        <v>1.3580701144651687E-3</v>
      </c>
      <c r="Y455" s="3">
        <f t="shared" si="22"/>
        <v>6.998069775562731E-4</v>
      </c>
      <c r="Z455" s="3">
        <f t="shared" si="23"/>
        <v>-6.5826313690889565E-4</v>
      </c>
    </row>
    <row r="456" spans="20:26" x14ac:dyDescent="0.25">
      <c r="T456" s="3" t="s">
        <v>862</v>
      </c>
      <c r="U456" s="3" t="s">
        <v>868</v>
      </c>
      <c r="V456" s="3">
        <v>544164.81000000006</v>
      </c>
      <c r="W456" s="3">
        <v>251647.62</v>
      </c>
      <c r="X456" s="3">
        <f t="shared" si="21"/>
        <v>1.353513141447778E-3</v>
      </c>
      <c r="Y456" s="3">
        <f t="shared" si="22"/>
        <v>6.7865300292918737E-4</v>
      </c>
      <c r="Z456" s="3">
        <f t="shared" si="23"/>
        <v>-6.7486013851859059E-4</v>
      </c>
    </row>
    <row r="457" spans="20:26" x14ac:dyDescent="0.25">
      <c r="T457" s="3" t="s">
        <v>983</v>
      </c>
      <c r="U457" s="3" t="s">
        <v>1018</v>
      </c>
      <c r="V457" s="3">
        <v>342740.54</v>
      </c>
      <c r="W457" s="3">
        <v>65247.48</v>
      </c>
      <c r="X457" s="3">
        <f t="shared" si="21"/>
        <v>8.5250610931072101E-4</v>
      </c>
      <c r="Y457" s="3">
        <f t="shared" si="22"/>
        <v>1.7596191943147364E-4</v>
      </c>
      <c r="Z457" s="3">
        <f t="shared" si="23"/>
        <v>-6.7654418987924737E-4</v>
      </c>
    </row>
    <row r="458" spans="20:26" x14ac:dyDescent="0.25">
      <c r="T458" s="3" t="s">
        <v>1090</v>
      </c>
      <c r="U458" s="3" t="s">
        <v>1096</v>
      </c>
      <c r="V458" s="3">
        <v>302266.28999999998</v>
      </c>
      <c r="W458" s="3">
        <v>27431.88</v>
      </c>
      <c r="X458" s="3">
        <f t="shared" si="21"/>
        <v>7.5183361403260345E-4</v>
      </c>
      <c r="Y458" s="3">
        <f t="shared" si="22"/>
        <v>7.3979351515397279E-5</v>
      </c>
      <c r="Z458" s="3">
        <f t="shared" si="23"/>
        <v>-6.7785426251720619E-4</v>
      </c>
    </row>
    <row r="459" spans="20:26" x14ac:dyDescent="0.25">
      <c r="T459" s="3" t="s">
        <v>932</v>
      </c>
      <c r="U459" s="3" t="s">
        <v>936</v>
      </c>
      <c r="V459" s="3">
        <v>411679.28</v>
      </c>
      <c r="W459" s="3">
        <v>124548.01</v>
      </c>
      <c r="X459" s="3">
        <f t="shared" si="21"/>
        <v>1.0239789587675825E-3</v>
      </c>
      <c r="Y459" s="3">
        <f t="shared" si="22"/>
        <v>3.3588587484099572E-4</v>
      </c>
      <c r="Z459" s="3">
        <f t="shared" si="23"/>
        <v>-6.8809308392658679E-4</v>
      </c>
    </row>
    <row r="460" spans="20:26" x14ac:dyDescent="0.25">
      <c r="T460" s="3" t="s">
        <v>994</v>
      </c>
      <c r="U460" s="3" t="s">
        <v>1030</v>
      </c>
      <c r="V460" s="3">
        <v>380628.26</v>
      </c>
      <c r="W460" s="3">
        <v>50329.41</v>
      </c>
      <c r="X460" s="3">
        <f t="shared" si="21"/>
        <v>9.4674507143598932E-4</v>
      </c>
      <c r="Y460" s="3">
        <f t="shared" si="22"/>
        <v>1.3573029314624266E-4</v>
      </c>
      <c r="Z460" s="3">
        <f t="shared" si="23"/>
        <v>-8.1101477828974665E-4</v>
      </c>
    </row>
    <row r="461" spans="20:26" x14ac:dyDescent="0.25">
      <c r="T461" s="3" t="s">
        <v>1132</v>
      </c>
      <c r="U461" s="3" t="s">
        <v>1160</v>
      </c>
      <c r="V461" s="3">
        <v>356800.54</v>
      </c>
      <c r="W461" s="3">
        <v>12893.59</v>
      </c>
      <c r="X461" s="3">
        <f t="shared" si="21"/>
        <v>8.8747785761020357E-4</v>
      </c>
      <c r="Y461" s="3">
        <f t="shared" si="22"/>
        <v>3.4771930575134152E-5</v>
      </c>
      <c r="Z461" s="3">
        <f t="shared" si="23"/>
        <v>-8.5270592703506941E-4</v>
      </c>
    </row>
    <row r="462" spans="20:26" x14ac:dyDescent="0.25">
      <c r="T462" s="3" t="s">
        <v>755</v>
      </c>
      <c r="U462" s="3" t="s">
        <v>761</v>
      </c>
      <c r="V462" s="3">
        <v>998796.32</v>
      </c>
      <c r="W462" s="3">
        <v>603075.92000000004</v>
      </c>
      <c r="X462" s="3">
        <f t="shared" si="21"/>
        <v>2.4843281298356648E-3</v>
      </c>
      <c r="Y462" s="3">
        <f t="shared" si="22"/>
        <v>1.6263983903455253E-3</v>
      </c>
      <c r="Z462" s="3">
        <f t="shared" si="23"/>
        <v>-8.5792973949013959E-4</v>
      </c>
    </row>
    <row r="463" spans="20:26" x14ac:dyDescent="0.25">
      <c r="T463" s="3" t="s">
        <v>780</v>
      </c>
      <c r="U463" s="3" t="s">
        <v>801</v>
      </c>
      <c r="V463" s="3">
        <v>849522.01</v>
      </c>
      <c r="W463" s="3">
        <v>464046.88</v>
      </c>
      <c r="X463" s="3">
        <f t="shared" si="21"/>
        <v>2.1130348441387278E-3</v>
      </c>
      <c r="Y463" s="3">
        <f t="shared" si="22"/>
        <v>1.251459515539707E-3</v>
      </c>
      <c r="Z463" s="3">
        <f t="shared" si="23"/>
        <v>-8.6157532859902088E-4</v>
      </c>
    </row>
    <row r="464" spans="20:26" x14ac:dyDescent="0.25">
      <c r="T464" s="3" t="s">
        <v>777</v>
      </c>
      <c r="U464" s="3" t="s">
        <v>798</v>
      </c>
      <c r="V464" s="3">
        <v>875738.92</v>
      </c>
      <c r="W464" s="3">
        <v>483236.21</v>
      </c>
      <c r="X464" s="3">
        <f t="shared" si="21"/>
        <v>2.1782447429801355E-3</v>
      </c>
      <c r="Y464" s="3">
        <f t="shared" si="22"/>
        <v>1.3032100404550594E-3</v>
      </c>
      <c r="Z464" s="3">
        <f t="shared" si="23"/>
        <v>-8.750347025250761E-4</v>
      </c>
    </row>
    <row r="465" spans="20:26" x14ac:dyDescent="0.25">
      <c r="T465" s="3" t="s">
        <v>787</v>
      </c>
      <c r="U465" s="3" t="s">
        <v>808</v>
      </c>
      <c r="V465" s="3">
        <v>835456.91</v>
      </c>
      <c r="W465" s="3">
        <v>413085.76</v>
      </c>
      <c r="X465" s="3">
        <f t="shared" si="21"/>
        <v>2.0780504104966901E-3</v>
      </c>
      <c r="Y465" s="3">
        <f t="shared" si="22"/>
        <v>1.1140256025122973E-3</v>
      </c>
      <c r="Z465" s="3">
        <f t="shared" si="23"/>
        <v>-9.6402480798439289E-4</v>
      </c>
    </row>
    <row r="466" spans="20:26" x14ac:dyDescent="0.25">
      <c r="T466" s="3" t="s">
        <v>664</v>
      </c>
      <c r="U466" s="3" t="s">
        <v>670</v>
      </c>
      <c r="V466" s="3">
        <v>1998679.13</v>
      </c>
      <c r="W466" s="3">
        <v>1472151.72</v>
      </c>
      <c r="X466" s="3">
        <f t="shared" si="21"/>
        <v>4.9713587102267996E-3</v>
      </c>
      <c r="Y466" s="3">
        <f t="shared" si="22"/>
        <v>3.9701555116848242E-3</v>
      </c>
      <c r="Z466" s="3">
        <f t="shared" si="23"/>
        <v>-1.0012031985419754E-3</v>
      </c>
    </row>
    <row r="467" spans="20:26" x14ac:dyDescent="0.25">
      <c r="T467" s="3" t="s">
        <v>782</v>
      </c>
      <c r="U467" s="3" t="s">
        <v>803</v>
      </c>
      <c r="V467" s="3">
        <v>917886.16</v>
      </c>
      <c r="W467" s="3">
        <v>460222.2</v>
      </c>
      <c r="X467" s="3">
        <f t="shared" si="21"/>
        <v>2.2830785032075811E-3</v>
      </c>
      <c r="Y467" s="3">
        <f t="shared" si="22"/>
        <v>1.2411449710697724E-3</v>
      </c>
      <c r="Z467" s="3">
        <f t="shared" si="23"/>
        <v>-1.0419335321378087E-3</v>
      </c>
    </row>
    <row r="468" spans="20:26" x14ac:dyDescent="0.25">
      <c r="T468" s="3" t="s">
        <v>715</v>
      </c>
      <c r="U468" s="3" t="s">
        <v>722</v>
      </c>
      <c r="V468" s="3">
        <v>1382768.45</v>
      </c>
      <c r="W468" s="3">
        <v>878178.09</v>
      </c>
      <c r="X468" s="3">
        <f t="shared" si="21"/>
        <v>3.4393904829207434E-3</v>
      </c>
      <c r="Y468" s="3">
        <f t="shared" si="22"/>
        <v>2.3683045279153372E-3</v>
      </c>
      <c r="Z468" s="3">
        <f t="shared" si="23"/>
        <v>-1.0710859550054062E-3</v>
      </c>
    </row>
    <row r="469" spans="20:26" x14ac:dyDescent="0.25">
      <c r="T469" s="3" t="s">
        <v>713</v>
      </c>
      <c r="U469" s="3" t="s">
        <v>720</v>
      </c>
      <c r="V469" s="3">
        <v>1439524.53</v>
      </c>
      <c r="W469" s="3">
        <v>929417.37</v>
      </c>
      <c r="X469" s="3">
        <f t="shared" si="21"/>
        <v>3.5805611332923861E-3</v>
      </c>
      <c r="Y469" s="3">
        <f t="shared" si="22"/>
        <v>2.5064885935541436E-3</v>
      </c>
      <c r="Z469" s="3">
        <f t="shared" si="23"/>
        <v>-1.0740725397382425E-3</v>
      </c>
    </row>
    <row r="470" spans="20:26" x14ac:dyDescent="0.25">
      <c r="T470" s="3" t="s">
        <v>756</v>
      </c>
      <c r="U470" s="3" t="s">
        <v>762</v>
      </c>
      <c r="V470" s="3">
        <v>1086869.29</v>
      </c>
      <c r="W470" s="3">
        <v>598555.65</v>
      </c>
      <c r="X470" s="3">
        <f t="shared" si="21"/>
        <v>2.7033939718575629E-3</v>
      </c>
      <c r="Y470" s="3">
        <f t="shared" si="22"/>
        <v>1.614207951947774E-3</v>
      </c>
      <c r="Z470" s="3">
        <f t="shared" si="23"/>
        <v>-1.0891860199097889E-3</v>
      </c>
    </row>
    <row r="471" spans="20:26" x14ac:dyDescent="0.25">
      <c r="T471" s="3" t="s">
        <v>991</v>
      </c>
      <c r="U471" s="3" t="s">
        <v>1027</v>
      </c>
      <c r="V471" s="3">
        <v>503944.06</v>
      </c>
      <c r="W471" s="3">
        <v>54746.94</v>
      </c>
      <c r="X471" s="3">
        <f t="shared" si="21"/>
        <v>1.2534711823143203E-3</v>
      </c>
      <c r="Y471" s="3">
        <f t="shared" si="22"/>
        <v>1.4764365835124546E-4</v>
      </c>
      <c r="Z471" s="3">
        <f t="shared" si="23"/>
        <v>-1.1058275239630747E-3</v>
      </c>
    </row>
    <row r="472" spans="20:26" x14ac:dyDescent="0.25">
      <c r="T472" s="3" t="s">
        <v>849</v>
      </c>
      <c r="U472" s="3" t="s">
        <v>852</v>
      </c>
      <c r="V472" s="3">
        <v>771625.93</v>
      </c>
      <c r="W472" s="3">
        <v>299782.59000000003</v>
      </c>
      <c r="X472" s="3">
        <f t="shared" si="21"/>
        <v>1.9192822052143783E-3</v>
      </c>
      <c r="Y472" s="3">
        <f t="shared" si="22"/>
        <v>8.0846524568517432E-4</v>
      </c>
      <c r="Z472" s="3">
        <f t="shared" si="23"/>
        <v>-1.1108169595292041E-3</v>
      </c>
    </row>
    <row r="473" spans="20:26" x14ac:dyDescent="0.25">
      <c r="T473" s="3" t="s">
        <v>861</v>
      </c>
      <c r="U473" s="3" t="s">
        <v>867</v>
      </c>
      <c r="V473" s="3">
        <v>730159.69</v>
      </c>
      <c r="W473" s="3">
        <v>257234.08</v>
      </c>
      <c r="X473" s="3">
        <f t="shared" si="21"/>
        <v>1.8161423113163741E-3</v>
      </c>
      <c r="Y473" s="3">
        <f t="shared" si="22"/>
        <v>6.9371878362182332E-4</v>
      </c>
      <c r="Z473" s="3">
        <f t="shared" si="23"/>
        <v>-1.1224235276945508E-3</v>
      </c>
    </row>
    <row r="474" spans="20:26" x14ac:dyDescent="0.25">
      <c r="T474" s="3" t="s">
        <v>730</v>
      </c>
      <c r="U474" s="3" t="s">
        <v>732</v>
      </c>
      <c r="V474" s="3">
        <v>1372833.62</v>
      </c>
      <c r="W474" s="3">
        <v>842942.35</v>
      </c>
      <c r="X474" s="3">
        <f t="shared" si="21"/>
        <v>3.414679361003379E-3</v>
      </c>
      <c r="Y474" s="3">
        <f t="shared" si="22"/>
        <v>2.2732794259039133E-3</v>
      </c>
      <c r="Z474" s="3">
        <f t="shared" si="23"/>
        <v>-1.1413999350994657E-3</v>
      </c>
    </row>
    <row r="475" spans="20:26" x14ac:dyDescent="0.25">
      <c r="T475" s="3" t="s">
        <v>709</v>
      </c>
      <c r="U475" s="3" t="s">
        <v>716</v>
      </c>
      <c r="V475" s="3">
        <v>1521606.43</v>
      </c>
      <c r="W475" s="3">
        <v>959172.04</v>
      </c>
      <c r="X475" s="3">
        <f t="shared" si="21"/>
        <v>3.7847252546823786E-3</v>
      </c>
      <c r="Y475" s="3">
        <f t="shared" si="22"/>
        <v>2.5867321346878412E-3</v>
      </c>
      <c r="Z475" s="3">
        <f t="shared" si="23"/>
        <v>-1.1979931199945374E-3</v>
      </c>
    </row>
    <row r="476" spans="20:26" x14ac:dyDescent="0.25">
      <c r="T476" s="3" t="s">
        <v>748</v>
      </c>
      <c r="U476" s="3" t="s">
        <v>749</v>
      </c>
      <c r="V476" s="3">
        <v>1238577.48</v>
      </c>
      <c r="W476" s="3">
        <v>695012.16</v>
      </c>
      <c r="X476" s="3">
        <f t="shared" si="21"/>
        <v>3.0807411009934147E-3</v>
      </c>
      <c r="Y476" s="3">
        <f t="shared" si="22"/>
        <v>1.8743355866282418E-3</v>
      </c>
      <c r="Z476" s="3">
        <f t="shared" si="23"/>
        <v>-1.2064055143651729E-3</v>
      </c>
    </row>
    <row r="477" spans="20:26" x14ac:dyDescent="0.25">
      <c r="T477" s="3" t="s">
        <v>647</v>
      </c>
      <c r="U477" s="3" t="s">
        <v>650</v>
      </c>
      <c r="V477" s="3">
        <v>2378355.67</v>
      </c>
      <c r="W477" s="3">
        <v>1725327.38</v>
      </c>
      <c r="X477" s="3">
        <f t="shared" si="21"/>
        <v>5.9157365475026478E-3</v>
      </c>
      <c r="Y477" s="3">
        <f t="shared" si="22"/>
        <v>4.6529293917937599E-3</v>
      </c>
      <c r="Z477" s="3">
        <f t="shared" si="23"/>
        <v>-1.262807155708888E-3</v>
      </c>
    </row>
    <row r="478" spans="20:26" x14ac:dyDescent="0.25">
      <c r="T478" s="3" t="s">
        <v>508</v>
      </c>
      <c r="U478" s="3" t="s">
        <v>523</v>
      </c>
      <c r="V478" s="3">
        <v>5365703.8499999996</v>
      </c>
      <c r="W478" s="3">
        <v>4479297.68</v>
      </c>
      <c r="X478" s="3">
        <f t="shared" si="21"/>
        <v>1.334623360538866E-2</v>
      </c>
      <c r="Y478" s="3">
        <f t="shared" si="22"/>
        <v>1.2079942665643896E-2</v>
      </c>
      <c r="Z478" s="3">
        <f t="shared" si="23"/>
        <v>-1.2662909397447644E-3</v>
      </c>
    </row>
    <row r="479" spans="20:26" x14ac:dyDescent="0.25">
      <c r="T479" s="3" t="s">
        <v>310</v>
      </c>
      <c r="U479" s="3" t="s">
        <v>316</v>
      </c>
      <c r="V479" s="3">
        <v>23076288.940000001</v>
      </c>
      <c r="W479" s="3">
        <v>20790960.739999998</v>
      </c>
      <c r="X479" s="3">
        <f t="shared" si="21"/>
        <v>5.7398162766416322E-2</v>
      </c>
      <c r="Y479" s="3">
        <f t="shared" si="22"/>
        <v>5.6069864439742517E-2</v>
      </c>
      <c r="Z479" s="3">
        <f t="shared" si="23"/>
        <v>-1.3282983266738047E-3</v>
      </c>
    </row>
    <row r="480" spans="20:26" x14ac:dyDescent="0.25">
      <c r="T480" s="3" t="s">
        <v>683</v>
      </c>
      <c r="U480" s="3" t="s">
        <v>686</v>
      </c>
      <c r="V480" s="3">
        <v>1973474.42</v>
      </c>
      <c r="W480" s="3">
        <v>1318155.98</v>
      </c>
      <c r="X480" s="3">
        <f t="shared" si="21"/>
        <v>4.9086664787843064E-3</v>
      </c>
      <c r="Y480" s="3">
        <f t="shared" si="22"/>
        <v>3.5548538633350312E-3</v>
      </c>
      <c r="Z480" s="3">
        <f t="shared" si="23"/>
        <v>-1.3538126154492751E-3</v>
      </c>
    </row>
    <row r="481" spans="20:26" x14ac:dyDescent="0.25">
      <c r="T481" s="3" t="s">
        <v>429</v>
      </c>
      <c r="U481" s="3" t="s">
        <v>433</v>
      </c>
      <c r="V481" s="3">
        <v>10162126.68</v>
      </c>
      <c r="W481" s="3">
        <v>8867928.1899999995</v>
      </c>
      <c r="X481" s="3">
        <f t="shared" si="21"/>
        <v>2.5276481965890218E-2</v>
      </c>
      <c r="Y481" s="3">
        <f t="shared" si="22"/>
        <v>2.3915370611905223E-2</v>
      </c>
      <c r="Z481" s="3">
        <f t="shared" si="23"/>
        <v>-1.3611113539849957E-3</v>
      </c>
    </row>
    <row r="482" spans="20:26" x14ac:dyDescent="0.25">
      <c r="T482" s="3" t="s">
        <v>750</v>
      </c>
      <c r="U482" s="3" t="s">
        <v>751</v>
      </c>
      <c r="V482" s="3">
        <v>1308786.75</v>
      </c>
      <c r="W482" s="3">
        <v>683929.23</v>
      </c>
      <c r="X482" s="3">
        <f t="shared" si="21"/>
        <v>3.2553741677594466E-3</v>
      </c>
      <c r="Y482" s="3">
        <f t="shared" si="22"/>
        <v>1.8444467137441905E-3</v>
      </c>
      <c r="Z482" s="3">
        <f t="shared" si="23"/>
        <v>-1.4109274540152561E-3</v>
      </c>
    </row>
    <row r="483" spans="20:26" x14ac:dyDescent="0.25">
      <c r="T483" s="3" t="s">
        <v>553</v>
      </c>
      <c r="U483" s="3" t="s">
        <v>554</v>
      </c>
      <c r="V483" s="3">
        <v>4426051.42</v>
      </c>
      <c r="W483" s="3">
        <v>3548759.85</v>
      </c>
      <c r="X483" s="3">
        <f t="shared" si="21"/>
        <v>1.1009015378435806E-2</v>
      </c>
      <c r="Y483" s="3">
        <f t="shared" si="22"/>
        <v>9.570432372366695E-3</v>
      </c>
      <c r="Z483" s="3">
        <f t="shared" si="23"/>
        <v>-1.4385830060691107E-3</v>
      </c>
    </row>
    <row r="484" spans="20:26" x14ac:dyDescent="0.25">
      <c r="T484" s="3" t="s">
        <v>693</v>
      </c>
      <c r="U484" s="3" t="s">
        <v>697</v>
      </c>
      <c r="V484" s="3">
        <v>1917861.26</v>
      </c>
      <c r="W484" s="3">
        <v>1194925.1200000001</v>
      </c>
      <c r="X484" s="3">
        <f t="shared" si="21"/>
        <v>4.7703386385525249E-3</v>
      </c>
      <c r="Y484" s="3">
        <f t="shared" si="22"/>
        <v>3.2225201293917252E-3</v>
      </c>
      <c r="Z484" s="3">
        <f t="shared" si="23"/>
        <v>-1.5478185091607997E-3</v>
      </c>
    </row>
    <row r="485" spans="20:26" x14ac:dyDescent="0.25">
      <c r="T485" s="3" t="s">
        <v>402</v>
      </c>
      <c r="U485" s="3" t="s">
        <v>404</v>
      </c>
      <c r="V485" s="3">
        <v>12634497.93</v>
      </c>
      <c r="W485" s="3">
        <v>11030313.26</v>
      </c>
      <c r="X485" s="3">
        <f t="shared" si="21"/>
        <v>3.1426065540419171E-2</v>
      </c>
      <c r="Y485" s="3">
        <f t="shared" si="22"/>
        <v>2.9746974031181515E-2</v>
      </c>
      <c r="Z485" s="3">
        <f t="shared" si="23"/>
        <v>-1.6790915092376561E-3</v>
      </c>
    </row>
    <row r="486" spans="20:26" x14ac:dyDescent="0.25">
      <c r="T486" s="3" t="s">
        <v>397</v>
      </c>
      <c r="U486" s="3" t="s">
        <v>399</v>
      </c>
      <c r="V486" s="3">
        <v>13060141.98</v>
      </c>
      <c r="W486" s="3">
        <v>11402564.529999999</v>
      </c>
      <c r="X486" s="3">
        <f t="shared" si="21"/>
        <v>3.2484779379805546E-2</v>
      </c>
      <c r="Y486" s="3">
        <f t="shared" si="22"/>
        <v>3.0750875606843957E-2</v>
      </c>
      <c r="Z486" s="3">
        <f t="shared" si="23"/>
        <v>-1.733903772961589E-3</v>
      </c>
    </row>
    <row r="487" spans="20:26" x14ac:dyDescent="0.25">
      <c r="T487" s="3" t="s">
        <v>663</v>
      </c>
      <c r="U487" s="3" t="s">
        <v>669</v>
      </c>
      <c r="V487" s="3">
        <v>2325195.11</v>
      </c>
      <c r="W487" s="3">
        <v>1487852.36</v>
      </c>
      <c r="X487" s="3">
        <f t="shared" si="21"/>
        <v>5.7835091133789252E-3</v>
      </c>
      <c r="Y487" s="3">
        <f t="shared" si="22"/>
        <v>4.0124976029150541E-3</v>
      </c>
      <c r="Z487" s="3">
        <f t="shared" si="23"/>
        <v>-1.7710115104638711E-3</v>
      </c>
    </row>
    <row r="488" spans="20:26" x14ac:dyDescent="0.25">
      <c r="T488" s="3" t="s">
        <v>832</v>
      </c>
      <c r="U488" s="3" t="s">
        <v>842</v>
      </c>
      <c r="V488" s="3">
        <v>1100165.6000000001</v>
      </c>
      <c r="W488" s="3">
        <v>318211.46999999997</v>
      </c>
      <c r="X488" s="3">
        <f t="shared" si="21"/>
        <v>2.7364661771656631E-3</v>
      </c>
      <c r="Y488" s="3">
        <f t="shared" si="22"/>
        <v>8.5816495972428032E-4</v>
      </c>
      <c r="Z488" s="3">
        <f t="shared" si="23"/>
        <v>-1.8783012174413828E-3</v>
      </c>
    </row>
    <row r="489" spans="20:26" x14ac:dyDescent="0.25">
      <c r="T489" s="3" t="s">
        <v>660</v>
      </c>
      <c r="U489" s="3" t="s">
        <v>666</v>
      </c>
      <c r="V489" s="3">
        <v>2432430.37</v>
      </c>
      <c r="W489" s="3">
        <v>1525481.03</v>
      </c>
      <c r="X489" s="3">
        <f t="shared" si="21"/>
        <v>6.0502377422231345E-3</v>
      </c>
      <c r="Y489" s="3">
        <f t="shared" si="22"/>
        <v>4.1139760508007578E-3</v>
      </c>
      <c r="Z489" s="3">
        <f t="shared" si="23"/>
        <v>-1.9362616914223767E-3</v>
      </c>
    </row>
    <row r="490" spans="20:26" x14ac:dyDescent="0.25">
      <c r="T490" s="3" t="s">
        <v>984</v>
      </c>
      <c r="U490" s="3" t="s">
        <v>1020</v>
      </c>
      <c r="V490" s="3">
        <v>850125</v>
      </c>
      <c r="W490" s="3">
        <v>62602.7</v>
      </c>
      <c r="X490" s="3">
        <f t="shared" si="21"/>
        <v>2.1145346744735152E-3</v>
      </c>
      <c r="Y490" s="3">
        <f t="shared" si="22"/>
        <v>1.6882937476807861E-4</v>
      </c>
      <c r="Z490" s="3">
        <f t="shared" si="23"/>
        <v>-1.9457052997054365E-3</v>
      </c>
    </row>
    <row r="491" spans="20:26" x14ac:dyDescent="0.25">
      <c r="T491" s="3" t="s">
        <v>979</v>
      </c>
      <c r="U491" s="3" t="s">
        <v>1014</v>
      </c>
      <c r="V491" s="3">
        <v>881213.54</v>
      </c>
      <c r="W491" s="3">
        <v>69013.52</v>
      </c>
      <c r="X491" s="3">
        <f t="shared" si="21"/>
        <v>2.191861886129162E-3</v>
      </c>
      <c r="Y491" s="3">
        <f t="shared" si="22"/>
        <v>1.8611832128876695E-4</v>
      </c>
      <c r="Z491" s="3">
        <f t="shared" si="23"/>
        <v>-2.0057435648403949E-3</v>
      </c>
    </row>
    <row r="492" spans="20:26" x14ac:dyDescent="0.25">
      <c r="T492" s="3" t="s">
        <v>1094</v>
      </c>
      <c r="U492" s="3" t="s">
        <v>1100</v>
      </c>
      <c r="V492" s="3">
        <v>892889.75</v>
      </c>
      <c r="W492" s="3">
        <v>23783.98</v>
      </c>
      <c r="X492" s="3">
        <f t="shared" si="21"/>
        <v>2.2209043809521991E-3</v>
      </c>
      <c r="Y492" s="3">
        <f t="shared" si="22"/>
        <v>6.4141554164540612E-5</v>
      </c>
      <c r="Z492" s="3">
        <f t="shared" si="23"/>
        <v>-2.1567628267876587E-3</v>
      </c>
    </row>
    <row r="493" spans="20:26" x14ac:dyDescent="0.25">
      <c r="T493" s="3" t="s">
        <v>661</v>
      </c>
      <c r="U493" s="3" t="s">
        <v>667</v>
      </c>
      <c r="V493" s="3">
        <v>2516390.42</v>
      </c>
      <c r="W493" s="3">
        <v>1519574.74</v>
      </c>
      <c r="X493" s="3">
        <f t="shared" si="21"/>
        <v>6.259073427558267E-3</v>
      </c>
      <c r="Y493" s="3">
        <f t="shared" si="22"/>
        <v>4.0980477402342971E-3</v>
      </c>
      <c r="Z493" s="3">
        <f t="shared" si="23"/>
        <v>-2.1610256873239699E-3</v>
      </c>
    </row>
    <row r="494" spans="20:26" x14ac:dyDescent="0.25">
      <c r="T494" s="3" t="s">
        <v>228</v>
      </c>
      <c r="U494" s="3" t="s">
        <v>232</v>
      </c>
      <c r="V494" s="3">
        <v>57830844.149999999</v>
      </c>
      <c r="W494" s="3">
        <v>52527144.630000003</v>
      </c>
      <c r="X494" s="3">
        <f t="shared" si="21"/>
        <v>0.1438439349616219</v>
      </c>
      <c r="Y494" s="3">
        <f t="shared" si="22"/>
        <v>0.14165722862169425</v>
      </c>
      <c r="Z494" s="3">
        <f t="shared" si="23"/>
        <v>-2.1867063399276521E-3</v>
      </c>
    </row>
    <row r="495" spans="20:26" x14ac:dyDescent="0.25">
      <c r="T495" s="3">
        <v>90376</v>
      </c>
      <c r="U495" s="3" t="s">
        <v>723</v>
      </c>
      <c r="V495" s="3">
        <v>1874211.25</v>
      </c>
      <c r="W495" s="3">
        <v>871343.32</v>
      </c>
      <c r="X495" s="3">
        <f t="shared" si="21"/>
        <v>4.66176700533845E-3</v>
      </c>
      <c r="Y495" s="3">
        <f t="shared" si="22"/>
        <v>2.3498722566908754E-3</v>
      </c>
      <c r="Z495" s="3">
        <f t="shared" si="23"/>
        <v>-2.3118947486475746E-3</v>
      </c>
    </row>
    <row r="496" spans="20:26" x14ac:dyDescent="0.25">
      <c r="T496" s="3" t="s">
        <v>610</v>
      </c>
      <c r="U496" s="3" t="s">
        <v>622</v>
      </c>
      <c r="V496" s="3">
        <v>3247881.26</v>
      </c>
      <c r="W496" s="3">
        <v>2117021.75</v>
      </c>
      <c r="X496" s="3">
        <f t="shared" si="21"/>
        <v>8.0785267376476746E-3</v>
      </c>
      <c r="Y496" s="3">
        <f t="shared" si="22"/>
        <v>5.709265869090689E-3</v>
      </c>
      <c r="Z496" s="3">
        <f t="shared" si="23"/>
        <v>-2.3692608685569857E-3</v>
      </c>
    </row>
    <row r="497" spans="20:26" x14ac:dyDescent="0.25">
      <c r="T497" s="3" t="s">
        <v>500</v>
      </c>
      <c r="U497" s="3" t="s">
        <v>501</v>
      </c>
      <c r="V497" s="3">
        <v>6332162.3499999996</v>
      </c>
      <c r="W497" s="3">
        <v>4931144.2699999996</v>
      </c>
      <c r="X497" s="3">
        <f t="shared" si="21"/>
        <v>1.5750127161853488E-2</v>
      </c>
      <c r="Y497" s="3">
        <f t="shared" si="22"/>
        <v>1.3298499968776002E-2</v>
      </c>
      <c r="Z497" s="3">
        <f t="shared" si="23"/>
        <v>-2.4516271930774859E-3</v>
      </c>
    </row>
    <row r="498" spans="20:26" x14ac:dyDescent="0.25">
      <c r="T498" s="3" t="s">
        <v>515</v>
      </c>
      <c r="U498" s="3" t="s">
        <v>530</v>
      </c>
      <c r="V498" s="3">
        <v>5465231.4900000002</v>
      </c>
      <c r="W498" s="3">
        <v>4115026.05</v>
      </c>
      <c r="X498" s="3">
        <f t="shared" si="21"/>
        <v>1.3593790900902283E-2</v>
      </c>
      <c r="Y498" s="3">
        <f t="shared" si="22"/>
        <v>1.1097560890758007E-2</v>
      </c>
      <c r="Z498" s="3">
        <f t="shared" si="23"/>
        <v>-2.4962300101442764E-3</v>
      </c>
    </row>
    <row r="499" spans="20:26" x14ac:dyDescent="0.25">
      <c r="T499" s="3" t="s">
        <v>507</v>
      </c>
      <c r="U499" s="3" t="s">
        <v>522</v>
      </c>
      <c r="V499" s="3">
        <v>5878094.9699999997</v>
      </c>
      <c r="W499" s="3">
        <v>4488249.58</v>
      </c>
      <c r="X499" s="3">
        <f t="shared" si="21"/>
        <v>1.4620715346464761E-2</v>
      </c>
      <c r="Y499" s="3">
        <f t="shared" si="22"/>
        <v>1.2104084494670223E-2</v>
      </c>
      <c r="Z499" s="3">
        <f t="shared" si="23"/>
        <v>-2.5166308517945383E-3</v>
      </c>
    </row>
    <row r="500" spans="20:26" x14ac:dyDescent="0.25">
      <c r="T500" s="3" t="s">
        <v>684</v>
      </c>
      <c r="U500" s="3" t="s">
        <v>687</v>
      </c>
      <c r="V500" s="3">
        <v>2461064.63</v>
      </c>
      <c r="W500" s="3">
        <v>1304779.6100000001</v>
      </c>
      <c r="X500" s="3">
        <f t="shared" si="21"/>
        <v>6.1214603690696442E-3</v>
      </c>
      <c r="Y500" s="3">
        <f t="shared" si="22"/>
        <v>3.5187799530441576E-3</v>
      </c>
      <c r="Z500" s="3">
        <f t="shared" si="23"/>
        <v>-2.6026804160254866E-3</v>
      </c>
    </row>
    <row r="501" spans="20:26" x14ac:dyDescent="0.25">
      <c r="T501" s="3" t="s">
        <v>714</v>
      </c>
      <c r="U501" s="3" t="s">
        <v>721</v>
      </c>
      <c r="V501" s="3">
        <v>2061660.85</v>
      </c>
      <c r="W501" s="3">
        <v>917156.33</v>
      </c>
      <c r="X501" s="3">
        <f t="shared" si="21"/>
        <v>5.1280145323682287E-3</v>
      </c>
      <c r="Y501" s="3">
        <f t="shared" si="22"/>
        <v>2.4734225482045597E-3</v>
      </c>
      <c r="Z501" s="3">
        <f t="shared" si="23"/>
        <v>-2.6545919841636689E-3</v>
      </c>
    </row>
    <row r="502" spans="20:26" x14ac:dyDescent="0.25">
      <c r="T502" s="3" t="s">
        <v>617</v>
      </c>
      <c r="U502" s="3" t="s">
        <v>630</v>
      </c>
      <c r="V502" s="3">
        <v>3108583.96</v>
      </c>
      <c r="W502" s="3">
        <v>1882326.11</v>
      </c>
      <c r="X502" s="3">
        <f t="shared" si="21"/>
        <v>7.7320494891130014E-3</v>
      </c>
      <c r="Y502" s="3">
        <f t="shared" si="22"/>
        <v>5.0763296193443675E-3</v>
      </c>
      <c r="Z502" s="3">
        <f t="shared" si="23"/>
        <v>-2.6557198697686338E-3</v>
      </c>
    </row>
    <row r="503" spans="20:26" x14ac:dyDescent="0.25">
      <c r="T503" s="3" t="s">
        <v>512</v>
      </c>
      <c r="U503" s="3" t="s">
        <v>527</v>
      </c>
      <c r="V503" s="3">
        <v>5718620.0999999996</v>
      </c>
      <c r="W503" s="3">
        <v>4251052.22</v>
      </c>
      <c r="X503" s="3">
        <f t="shared" si="21"/>
        <v>1.4224049982756887E-2</v>
      </c>
      <c r="Y503" s="3">
        <f t="shared" si="22"/>
        <v>1.1464401509983636E-2</v>
      </c>
      <c r="Z503" s="3">
        <f t="shared" si="23"/>
        <v>-2.7596484727732511E-3</v>
      </c>
    </row>
    <row r="504" spans="20:26" x14ac:dyDescent="0.25">
      <c r="T504" s="3" t="s">
        <v>662</v>
      </c>
      <c r="U504" s="3" t="s">
        <v>668</v>
      </c>
      <c r="V504" s="3">
        <v>2791338.46</v>
      </c>
      <c r="W504" s="3">
        <v>1517399.73</v>
      </c>
      <c r="X504" s="3">
        <f t="shared" si="21"/>
        <v>6.9429577554612591E-3</v>
      </c>
      <c r="Y504" s="3">
        <f t="shared" si="22"/>
        <v>4.0921820894170907E-3</v>
      </c>
      <c r="Z504" s="3">
        <f t="shared" si="23"/>
        <v>-2.8507756660441684E-3</v>
      </c>
    </row>
    <row r="505" spans="20:26" x14ac:dyDescent="0.25">
      <c r="T505" s="3" t="s">
        <v>678</v>
      </c>
      <c r="U505" s="3" t="s">
        <v>680</v>
      </c>
      <c r="V505" s="3">
        <v>2710222.46</v>
      </c>
      <c r="W505" s="3">
        <v>1395121.75</v>
      </c>
      <c r="X505" s="3">
        <f t="shared" si="21"/>
        <v>6.7411961384583547E-3</v>
      </c>
      <c r="Y505" s="3">
        <f t="shared" si="22"/>
        <v>3.7624181189924348E-3</v>
      </c>
      <c r="Z505" s="3">
        <f t="shared" si="23"/>
        <v>-2.9787780194659198E-3</v>
      </c>
    </row>
    <row r="506" spans="20:26" x14ac:dyDescent="0.25">
      <c r="T506" s="3" t="s">
        <v>559</v>
      </c>
      <c r="U506" s="3" t="s">
        <v>563</v>
      </c>
      <c r="V506" s="3">
        <v>4851482.38</v>
      </c>
      <c r="W506" s="3">
        <v>3340582.76</v>
      </c>
      <c r="X506" s="3">
        <f t="shared" si="21"/>
        <v>1.2067199194362352E-2</v>
      </c>
      <c r="Y506" s="3">
        <f t="shared" si="22"/>
        <v>9.009012370581819E-3</v>
      </c>
      <c r="Z506" s="3">
        <f t="shared" si="23"/>
        <v>-3.0581868237805326E-3</v>
      </c>
    </row>
    <row r="507" spans="20:26" x14ac:dyDescent="0.25">
      <c r="T507" s="3" t="s">
        <v>729</v>
      </c>
      <c r="U507" s="3" t="s">
        <v>731</v>
      </c>
      <c r="V507" s="3">
        <v>2206235.4500000002</v>
      </c>
      <c r="W507" s="3">
        <v>855046.83</v>
      </c>
      <c r="X507" s="3">
        <f t="shared" si="21"/>
        <v>5.4876181256611435E-3</v>
      </c>
      <c r="Y507" s="3">
        <f t="shared" si="22"/>
        <v>2.305923254209924E-3</v>
      </c>
      <c r="Z507" s="3">
        <f t="shared" si="23"/>
        <v>-3.1816948714512194E-3</v>
      </c>
    </row>
    <row r="508" spans="20:26" x14ac:dyDescent="0.25">
      <c r="T508" s="3" t="s">
        <v>570</v>
      </c>
      <c r="U508" s="3" t="s">
        <v>574</v>
      </c>
      <c r="V508" s="3">
        <v>4254354.0199999996</v>
      </c>
      <c r="W508" s="3">
        <v>2713531.69</v>
      </c>
      <c r="X508" s="3">
        <f t="shared" si="21"/>
        <v>1.0581948646111793E-2</v>
      </c>
      <c r="Y508" s="3">
        <f t="shared" si="22"/>
        <v>7.3179568714459237E-3</v>
      </c>
      <c r="Z508" s="3">
        <f t="shared" si="23"/>
        <v>-3.2639917746658696E-3</v>
      </c>
    </row>
    <row r="509" spans="20:26" x14ac:dyDescent="0.25">
      <c r="T509" s="3" t="s">
        <v>599</v>
      </c>
      <c r="U509" s="3" t="s">
        <v>603</v>
      </c>
      <c r="V509" s="3">
        <v>3860538.61</v>
      </c>
      <c r="W509" s="3">
        <v>2310625.7200000002</v>
      </c>
      <c r="X509" s="3">
        <f t="shared" si="21"/>
        <v>9.6024028854448298E-3</v>
      </c>
      <c r="Y509" s="3">
        <f t="shared" si="22"/>
        <v>6.2313845190485641E-3</v>
      </c>
      <c r="Z509" s="3">
        <f t="shared" si="23"/>
        <v>-3.3710183663962657E-3</v>
      </c>
    </row>
    <row r="510" spans="20:26" x14ac:dyDescent="0.25">
      <c r="T510" s="3" t="s">
        <v>584</v>
      </c>
      <c r="U510" s="3" t="s">
        <v>591</v>
      </c>
      <c r="V510" s="3">
        <v>3963583.51</v>
      </c>
      <c r="W510" s="3">
        <v>2351485.64</v>
      </c>
      <c r="X510" s="3">
        <f t="shared" si="21"/>
        <v>9.8587087393811994E-3</v>
      </c>
      <c r="Y510" s="3">
        <f t="shared" si="22"/>
        <v>6.3415771265027746E-3</v>
      </c>
      <c r="Z510" s="3">
        <f t="shared" si="23"/>
        <v>-3.5171316128784248E-3</v>
      </c>
    </row>
    <row r="511" spans="20:26" x14ac:dyDescent="0.25">
      <c r="T511" s="3" t="s">
        <v>783</v>
      </c>
      <c r="U511" s="3" t="s">
        <v>804</v>
      </c>
      <c r="V511" s="3">
        <v>1933447.79</v>
      </c>
      <c r="W511" s="3">
        <v>452921.63</v>
      </c>
      <c r="X511" s="3">
        <f t="shared" si="21"/>
        <v>4.8091073586110124E-3</v>
      </c>
      <c r="Y511" s="3">
        <f t="shared" si="22"/>
        <v>1.2214565124481699E-3</v>
      </c>
      <c r="Z511" s="3">
        <f t="shared" si="23"/>
        <v>-3.5876508461628424E-3</v>
      </c>
    </row>
    <row r="512" spans="20:26" x14ac:dyDescent="0.25">
      <c r="T512" s="3" t="s">
        <v>1117</v>
      </c>
      <c r="U512" s="3" t="s">
        <v>1144</v>
      </c>
      <c r="V512" s="3">
        <v>1502097.09</v>
      </c>
      <c r="W512" s="3">
        <v>19607.14</v>
      </c>
      <c r="X512" s="3">
        <f t="shared" si="21"/>
        <v>3.736199242735791E-3</v>
      </c>
      <c r="Y512" s="3">
        <f t="shared" si="22"/>
        <v>5.2877291030421769E-5</v>
      </c>
      <c r="Z512" s="3">
        <f t="shared" si="23"/>
        <v>-3.6833219517053693E-3</v>
      </c>
    </row>
    <row r="513" spans="20:26" x14ac:dyDescent="0.25">
      <c r="T513" s="3" t="s">
        <v>857</v>
      </c>
      <c r="U513" s="3" t="s">
        <v>863</v>
      </c>
      <c r="V513" s="3">
        <v>1796087.6</v>
      </c>
      <c r="W513" s="3">
        <v>284287.06</v>
      </c>
      <c r="X513" s="3">
        <f t="shared" si="21"/>
        <v>4.4674483265307067E-3</v>
      </c>
      <c r="Y513" s="3">
        <f t="shared" si="22"/>
        <v>7.666763030101777E-4</v>
      </c>
      <c r="Z513" s="3">
        <f t="shared" si="23"/>
        <v>-3.700772023520529E-3</v>
      </c>
    </row>
    <row r="514" spans="20:26" x14ac:dyDescent="0.25">
      <c r="T514" s="3" t="s">
        <v>682</v>
      </c>
      <c r="U514" s="3" t="s">
        <v>685</v>
      </c>
      <c r="V514" s="3">
        <v>3044415.89</v>
      </c>
      <c r="W514" s="3">
        <v>1353072.6</v>
      </c>
      <c r="X514" s="3">
        <f t="shared" ref="X514:X577" si="24">V514/(R$2*12)</f>
        <v>7.5724428324342261E-3</v>
      </c>
      <c r="Y514" s="3">
        <f t="shared" ref="Y514:Y577" si="25">W514/(R$3*12)</f>
        <v>3.6490183502280024E-3</v>
      </c>
      <c r="Z514" s="3">
        <f t="shared" ref="Z514:Z577" si="26">Y514-X514</f>
        <v>-3.9234244822062237E-3</v>
      </c>
    </row>
    <row r="515" spans="20:26" x14ac:dyDescent="0.25">
      <c r="T515" s="3" t="s">
        <v>616</v>
      </c>
      <c r="U515" s="3" t="s">
        <v>629</v>
      </c>
      <c r="V515" s="3">
        <v>3649301.68</v>
      </c>
      <c r="W515" s="3">
        <v>1892070.35</v>
      </c>
      <c r="X515" s="3">
        <f t="shared" si="24"/>
        <v>9.0769886075276595E-3</v>
      </c>
      <c r="Y515" s="3">
        <f t="shared" si="25"/>
        <v>5.1026082614283362E-3</v>
      </c>
      <c r="Z515" s="3">
        <f t="shared" si="26"/>
        <v>-3.9743803460993233E-3</v>
      </c>
    </row>
    <row r="516" spans="20:26" x14ac:dyDescent="0.25">
      <c r="T516" s="3" t="s">
        <v>665</v>
      </c>
      <c r="U516" s="3" t="s">
        <v>671</v>
      </c>
      <c r="V516" s="3">
        <v>3252542.8</v>
      </c>
      <c r="W516" s="3">
        <v>1464069.64</v>
      </c>
      <c r="X516" s="3">
        <f t="shared" si="24"/>
        <v>8.0901214889682986E-3</v>
      </c>
      <c r="Y516" s="3">
        <f t="shared" si="25"/>
        <v>3.9483594467670871E-3</v>
      </c>
      <c r="Z516" s="3">
        <f t="shared" si="26"/>
        <v>-4.1417620422012115E-3</v>
      </c>
    </row>
    <row r="517" spans="20:26" x14ac:dyDescent="0.25">
      <c r="T517" s="3" t="s">
        <v>438</v>
      </c>
      <c r="U517" s="3" t="s">
        <v>439</v>
      </c>
      <c r="V517" s="3">
        <v>10362037.720000001</v>
      </c>
      <c r="W517" s="3">
        <v>8005094.8399999999</v>
      </c>
      <c r="X517" s="3">
        <f t="shared" si="24"/>
        <v>2.5773725107651798E-2</v>
      </c>
      <c r="Y517" s="3">
        <f t="shared" si="25"/>
        <v>2.1588448370379751E-2</v>
      </c>
      <c r="Z517" s="3">
        <f t="shared" si="26"/>
        <v>-4.1852767372720472E-3</v>
      </c>
    </row>
    <row r="518" spans="20:26" x14ac:dyDescent="0.25">
      <c r="T518" s="3" t="s">
        <v>475</v>
      </c>
      <c r="U518" s="3" t="s">
        <v>477</v>
      </c>
      <c r="V518" s="3">
        <v>8238577.9699999997</v>
      </c>
      <c r="W518" s="3">
        <v>6038888.5099999998</v>
      </c>
      <c r="X518" s="3">
        <f t="shared" si="24"/>
        <v>2.0491996807432581E-2</v>
      </c>
      <c r="Y518" s="3">
        <f t="shared" si="25"/>
        <v>1.6285907340057759E-2</v>
      </c>
      <c r="Z518" s="3">
        <f t="shared" si="26"/>
        <v>-4.2060894673748225E-3</v>
      </c>
    </row>
    <row r="519" spans="20:26" x14ac:dyDescent="0.25">
      <c r="T519" s="3" t="s">
        <v>481</v>
      </c>
      <c r="U519" s="3" t="s">
        <v>485</v>
      </c>
      <c r="V519" s="3">
        <v>8038054.2300000004</v>
      </c>
      <c r="W519" s="3">
        <v>5765102.75</v>
      </c>
      <c r="X519" s="3">
        <f t="shared" si="24"/>
        <v>1.9993229683438918E-2</v>
      </c>
      <c r="Y519" s="3">
        <f t="shared" si="25"/>
        <v>1.5547551347725109E-2</v>
      </c>
      <c r="Z519" s="3">
        <f t="shared" si="26"/>
        <v>-4.445678335713809E-3</v>
      </c>
    </row>
    <row r="520" spans="20:26" x14ac:dyDescent="0.25">
      <c r="T520" s="3" t="s">
        <v>260</v>
      </c>
      <c r="U520" s="3" t="s">
        <v>266</v>
      </c>
      <c r="V520" s="3">
        <v>42579319.289999999</v>
      </c>
      <c r="W520" s="3">
        <v>37587828.310000002</v>
      </c>
      <c r="X520" s="3">
        <f t="shared" si="24"/>
        <v>0.10590848058130746</v>
      </c>
      <c r="Y520" s="3">
        <f t="shared" si="25"/>
        <v>0.10136830444161651</v>
      </c>
      <c r="Z520" s="3">
        <f t="shared" si="26"/>
        <v>-4.5401761396909462E-3</v>
      </c>
    </row>
    <row r="521" spans="20:26" x14ac:dyDescent="0.25">
      <c r="T521" s="3" t="s">
        <v>1457</v>
      </c>
      <c r="U521" s="3" t="s">
        <v>1588</v>
      </c>
      <c r="V521" s="3">
        <v>4884324.5599999996</v>
      </c>
      <c r="W521" s="3">
        <v>2808759.73</v>
      </c>
      <c r="X521" s="3">
        <f t="shared" si="24"/>
        <v>1.2148888273492243E-2</v>
      </c>
      <c r="Y521" s="3">
        <f t="shared" si="25"/>
        <v>7.5747715208714216E-3</v>
      </c>
      <c r="Z521" s="3">
        <f t="shared" si="26"/>
        <v>-4.5741167526208212E-3</v>
      </c>
    </row>
    <row r="522" spans="20:26" x14ac:dyDescent="0.25">
      <c r="T522" s="3" t="s">
        <v>411</v>
      </c>
      <c r="U522" s="3" t="s">
        <v>413</v>
      </c>
      <c r="V522" s="3">
        <v>13152735.5</v>
      </c>
      <c r="W522" s="3">
        <v>10328014.58</v>
      </c>
      <c r="X522" s="3">
        <f t="shared" si="24"/>
        <v>3.2715089285609462E-2</v>
      </c>
      <c r="Y522" s="3">
        <f t="shared" si="25"/>
        <v>2.7852987876513316E-2</v>
      </c>
      <c r="Z522" s="3">
        <f t="shared" si="26"/>
        <v>-4.8621014090961465E-3</v>
      </c>
    </row>
    <row r="523" spans="20:26" x14ac:dyDescent="0.25">
      <c r="T523" s="3" t="s">
        <v>348</v>
      </c>
      <c r="U523" s="3" t="s">
        <v>358</v>
      </c>
      <c r="V523" s="3">
        <v>20175955.620000001</v>
      </c>
      <c r="W523" s="3">
        <v>16766234.73</v>
      </c>
      <c r="X523" s="3">
        <f t="shared" si="24"/>
        <v>5.0184099690197076E-2</v>
      </c>
      <c r="Y523" s="3">
        <f t="shared" si="25"/>
        <v>4.5215828178029792E-2</v>
      </c>
      <c r="Z523" s="3">
        <f t="shared" si="26"/>
        <v>-4.9682715121672841E-3</v>
      </c>
    </row>
    <row r="524" spans="20:26" x14ac:dyDescent="0.25">
      <c r="T524" s="3" t="s">
        <v>571</v>
      </c>
      <c r="U524" s="3" t="s">
        <v>575</v>
      </c>
      <c r="V524" s="3">
        <v>4872398.75</v>
      </c>
      <c r="W524" s="3">
        <v>2645952.59</v>
      </c>
      <c r="X524" s="3">
        <f t="shared" si="24"/>
        <v>1.2119224943080618E-2</v>
      </c>
      <c r="Y524" s="3">
        <f t="shared" si="25"/>
        <v>7.1357069493117433E-3</v>
      </c>
      <c r="Z524" s="3">
        <f t="shared" si="26"/>
        <v>-4.9835179937688752E-3</v>
      </c>
    </row>
    <row r="525" spans="20:26" x14ac:dyDescent="0.25">
      <c r="T525" s="3" t="s">
        <v>710</v>
      </c>
      <c r="U525" s="3" t="s">
        <v>717</v>
      </c>
      <c r="V525" s="3">
        <v>3069119.89</v>
      </c>
      <c r="W525" s="3">
        <v>954255.51</v>
      </c>
      <c r="X525" s="3">
        <f t="shared" si="24"/>
        <v>7.6338896368432175E-3</v>
      </c>
      <c r="Y525" s="3">
        <f t="shared" si="25"/>
        <v>2.5734730470457984E-3</v>
      </c>
      <c r="Z525" s="3">
        <f t="shared" si="26"/>
        <v>-5.0604165897974191E-3</v>
      </c>
    </row>
    <row r="526" spans="20:26" x14ac:dyDescent="0.25">
      <c r="T526" s="3">
        <v>90674</v>
      </c>
      <c r="U526" s="3" t="s">
        <v>384</v>
      </c>
      <c r="V526" s="3">
        <v>16619925.85</v>
      </c>
      <c r="W526" s="3">
        <v>13428000.52</v>
      </c>
      <c r="X526" s="3">
        <f t="shared" si="24"/>
        <v>4.1339108362892167E-2</v>
      </c>
      <c r="Y526" s="3">
        <f t="shared" si="25"/>
        <v>3.6213149467627347E-2</v>
      </c>
      <c r="Z526" s="3">
        <f t="shared" si="26"/>
        <v>-5.1259588952648205E-3</v>
      </c>
    </row>
    <row r="527" spans="20:26" x14ac:dyDescent="0.25">
      <c r="T527" s="3" t="s">
        <v>579</v>
      </c>
      <c r="U527" s="3" t="s">
        <v>586</v>
      </c>
      <c r="V527" s="3">
        <v>4868611.2300000004</v>
      </c>
      <c r="W527" s="3">
        <v>2567585.38</v>
      </c>
      <c r="X527" s="3">
        <f t="shared" si="24"/>
        <v>1.2109804160995325E-2</v>
      </c>
      <c r="Y527" s="3">
        <f t="shared" si="25"/>
        <v>6.9243632362351714E-3</v>
      </c>
      <c r="Z527" s="3">
        <f t="shared" si="26"/>
        <v>-5.1854409247601534E-3</v>
      </c>
    </row>
    <row r="528" spans="20:26" x14ac:dyDescent="0.25">
      <c r="T528" s="3" t="s">
        <v>580</v>
      </c>
      <c r="U528" s="3" t="s">
        <v>587</v>
      </c>
      <c r="V528" s="3">
        <v>4852493.7</v>
      </c>
      <c r="W528" s="3">
        <v>2537428.3199999998</v>
      </c>
      <c r="X528" s="3">
        <f t="shared" si="24"/>
        <v>1.2069714672917845E-2</v>
      </c>
      <c r="Y528" s="3">
        <f t="shared" si="25"/>
        <v>6.8430345142368636E-3</v>
      </c>
      <c r="Z528" s="3">
        <f t="shared" si="26"/>
        <v>-5.2266801586809816E-3</v>
      </c>
    </row>
    <row r="529" spans="20:26" x14ac:dyDescent="0.25">
      <c r="T529" s="3" t="s">
        <v>419</v>
      </c>
      <c r="U529" s="3" t="s">
        <v>422</v>
      </c>
      <c r="V529" s="3">
        <v>12438764.380000001</v>
      </c>
      <c r="W529" s="3">
        <v>9494399.9000000004</v>
      </c>
      <c r="X529" s="3">
        <f t="shared" si="24"/>
        <v>3.09392131617304E-2</v>
      </c>
      <c r="Y529" s="3">
        <f t="shared" si="25"/>
        <v>2.5604863670658107E-2</v>
      </c>
      <c r="Z529" s="3">
        <f t="shared" si="26"/>
        <v>-5.3343494910722926E-3</v>
      </c>
    </row>
    <row r="530" spans="20:26" x14ac:dyDescent="0.25">
      <c r="T530" s="3">
        <v>90746</v>
      </c>
      <c r="U530" s="3" t="s">
        <v>562</v>
      </c>
      <c r="V530" s="3">
        <v>5899354.4299999997</v>
      </c>
      <c r="W530" s="3">
        <v>3457628.3</v>
      </c>
      <c r="X530" s="3">
        <f t="shared" si="24"/>
        <v>1.4673594470511911E-2</v>
      </c>
      <c r="Y530" s="3">
        <f t="shared" si="25"/>
        <v>9.3246652950977286E-3</v>
      </c>
      <c r="Z530" s="3">
        <f t="shared" si="26"/>
        <v>-5.348929175414182E-3</v>
      </c>
    </row>
    <row r="531" spans="20:26" x14ac:dyDescent="0.25">
      <c r="T531" s="3" t="s">
        <v>897</v>
      </c>
      <c r="U531" s="3" t="s">
        <v>905</v>
      </c>
      <c r="V531" s="3">
        <v>2439016.2999999998</v>
      </c>
      <c r="W531" s="3">
        <v>203687.82</v>
      </c>
      <c r="X531" s="3">
        <f t="shared" si="24"/>
        <v>6.0666190712613983E-3</v>
      </c>
      <c r="Y531" s="3">
        <f t="shared" si="25"/>
        <v>5.4931316538221102E-4</v>
      </c>
      <c r="Z531" s="3">
        <f t="shared" si="26"/>
        <v>-5.5173059058791878E-3</v>
      </c>
    </row>
    <row r="532" spans="20:26" x14ac:dyDescent="0.25">
      <c r="T532" s="3" t="s">
        <v>446</v>
      </c>
      <c r="U532" s="3" t="s">
        <v>451</v>
      </c>
      <c r="V532" s="3">
        <v>10538654.800000001</v>
      </c>
      <c r="W532" s="3">
        <v>7638373.1799999997</v>
      </c>
      <c r="X532" s="3">
        <f t="shared" si="24"/>
        <v>2.6213028668615496E-2</v>
      </c>
      <c r="Y532" s="3">
        <f t="shared" si="25"/>
        <v>2.0599459260138307E-2</v>
      </c>
      <c r="Z532" s="3">
        <f t="shared" si="26"/>
        <v>-5.6135694084771884E-3</v>
      </c>
    </row>
    <row r="533" spans="20:26" x14ac:dyDescent="0.25">
      <c r="T533" s="3" t="s">
        <v>828</v>
      </c>
      <c r="U533" s="3" t="s">
        <v>838</v>
      </c>
      <c r="V533" s="3">
        <v>2665207.13</v>
      </c>
      <c r="W533" s="3">
        <v>368417.43</v>
      </c>
      <c r="X533" s="3">
        <f t="shared" si="24"/>
        <v>6.6292285146761255E-3</v>
      </c>
      <c r="Y533" s="3">
        <f t="shared" si="25"/>
        <v>9.9356232815137968E-4</v>
      </c>
      <c r="Z533" s="3">
        <f t="shared" si="26"/>
        <v>-5.6356661865247463E-3</v>
      </c>
    </row>
    <row r="534" spans="20:26" x14ac:dyDescent="0.25">
      <c r="T534" s="3" t="s">
        <v>560</v>
      </c>
      <c r="U534" s="3" t="s">
        <v>564</v>
      </c>
      <c r="V534" s="3">
        <v>5762049.3200000003</v>
      </c>
      <c r="W534" s="3">
        <v>3212047.86</v>
      </c>
      <c r="X534" s="3">
        <f t="shared" si="24"/>
        <v>1.4332072440131204E-2</v>
      </c>
      <c r="Y534" s="3">
        <f t="shared" si="25"/>
        <v>8.662374497089502E-3</v>
      </c>
      <c r="Z534" s="3">
        <f t="shared" si="26"/>
        <v>-5.6696979430417016E-3</v>
      </c>
    </row>
    <row r="535" spans="20:26" x14ac:dyDescent="0.25">
      <c r="T535" s="3" t="s">
        <v>513</v>
      </c>
      <c r="U535" s="3" t="s">
        <v>528</v>
      </c>
      <c r="V535" s="3">
        <v>6847393.0899999999</v>
      </c>
      <c r="W535" s="3">
        <v>4208204.54</v>
      </c>
      <c r="X535" s="3">
        <f t="shared" si="24"/>
        <v>1.703167195242505E-2</v>
      </c>
      <c r="Y535" s="3">
        <f t="shared" si="25"/>
        <v>1.1348848234730929E-2</v>
      </c>
      <c r="Z535" s="3">
        <f t="shared" si="26"/>
        <v>-5.6828237176941212E-3</v>
      </c>
    </row>
    <row r="536" spans="20:26" x14ac:dyDescent="0.25">
      <c r="T536" s="3" t="s">
        <v>598</v>
      </c>
      <c r="U536" s="3" t="s">
        <v>602</v>
      </c>
      <c r="V536" s="3">
        <v>5217873.28</v>
      </c>
      <c r="W536" s="3">
        <v>2315051.67</v>
      </c>
      <c r="X536" s="3">
        <f t="shared" si="24"/>
        <v>1.2978531366056582E-2</v>
      </c>
      <c r="Y536" s="3">
        <f t="shared" si="25"/>
        <v>6.2433205916341671E-3</v>
      </c>
      <c r="Z536" s="3">
        <f t="shared" si="26"/>
        <v>-6.7352107744224152E-3</v>
      </c>
    </row>
    <row r="537" spans="20:26" x14ac:dyDescent="0.25">
      <c r="T537" s="3">
        <v>90747</v>
      </c>
      <c r="U537" s="3" t="s">
        <v>405</v>
      </c>
      <c r="V537" s="3">
        <v>14836379.720000001</v>
      </c>
      <c r="W537" s="3">
        <v>10899188.24</v>
      </c>
      <c r="X537" s="3">
        <f t="shared" si="24"/>
        <v>3.69028547114785E-2</v>
      </c>
      <c r="Y537" s="3">
        <f t="shared" si="25"/>
        <v>2.9393351022221011E-2</v>
      </c>
      <c r="Z537" s="3">
        <f t="shared" si="26"/>
        <v>-7.5095036892574886E-3</v>
      </c>
    </row>
    <row r="538" spans="20:26" x14ac:dyDescent="0.25">
      <c r="T538" s="3" t="s">
        <v>509</v>
      </c>
      <c r="U538" s="3" t="s">
        <v>524</v>
      </c>
      <c r="V538" s="3">
        <v>7912000.21</v>
      </c>
      <c r="W538" s="3">
        <v>4386715.13</v>
      </c>
      <c r="X538" s="3">
        <f t="shared" si="24"/>
        <v>1.9679692737522989E-2</v>
      </c>
      <c r="Y538" s="3">
        <f t="shared" si="25"/>
        <v>1.1830262475637164E-2</v>
      </c>
      <c r="Z538" s="3">
        <f t="shared" si="26"/>
        <v>-7.8494302618858248E-3</v>
      </c>
    </row>
    <row r="539" spans="20:26" x14ac:dyDescent="0.25">
      <c r="T539" s="3" t="s">
        <v>427</v>
      </c>
      <c r="U539" s="3" t="s">
        <v>431</v>
      </c>
      <c r="V539" s="3">
        <v>13055249.16</v>
      </c>
      <c r="W539" s="3">
        <v>9054511.25</v>
      </c>
      <c r="X539" s="3">
        <f t="shared" si="24"/>
        <v>3.2472609360636645E-2</v>
      </c>
      <c r="Y539" s="3">
        <f t="shared" si="25"/>
        <v>2.4418555001110721E-2</v>
      </c>
      <c r="Z539" s="3">
        <f t="shared" si="26"/>
        <v>-8.0540543595259244E-3</v>
      </c>
    </row>
    <row r="540" spans="20:26" x14ac:dyDescent="0.25">
      <c r="T540" s="3" t="s">
        <v>428</v>
      </c>
      <c r="U540" s="3" t="s">
        <v>432</v>
      </c>
      <c r="V540" s="3">
        <v>13053892.109999999</v>
      </c>
      <c r="W540" s="3">
        <v>9049780.0800000001</v>
      </c>
      <c r="X540" s="3">
        <f t="shared" si="24"/>
        <v>3.2469233940222011E-2</v>
      </c>
      <c r="Y540" s="3">
        <f t="shared" si="25"/>
        <v>2.4405795799462525E-2</v>
      </c>
      <c r="Z540" s="3">
        <f t="shared" si="26"/>
        <v>-8.0634381407594866E-3</v>
      </c>
    </row>
    <row r="541" spans="20:26" x14ac:dyDescent="0.25">
      <c r="T541" s="3" t="s">
        <v>502</v>
      </c>
      <c r="U541" s="3" t="s">
        <v>517</v>
      </c>
      <c r="V541" s="3">
        <v>8463932.5800000001</v>
      </c>
      <c r="W541" s="3">
        <v>4799901.4800000004</v>
      </c>
      <c r="X541" s="3">
        <f t="shared" si="24"/>
        <v>2.1052526302386212E-2</v>
      </c>
      <c r="Y541" s="3">
        <f t="shared" si="25"/>
        <v>1.2944559353139326E-2</v>
      </c>
      <c r="Z541" s="3">
        <f t="shared" si="26"/>
        <v>-8.1079669492468854E-3</v>
      </c>
    </row>
    <row r="542" spans="20:26" x14ac:dyDescent="0.25">
      <c r="T542" s="3">
        <v>90756</v>
      </c>
      <c r="U542" s="3" t="s">
        <v>1570</v>
      </c>
      <c r="V542" s="3">
        <v>13413682.869999999</v>
      </c>
      <c r="W542" s="3">
        <v>9055138.1099999994</v>
      </c>
      <c r="X542" s="3">
        <f t="shared" si="24"/>
        <v>3.3364149438031364E-2</v>
      </c>
      <c r="Y542" s="3">
        <f t="shared" si="25"/>
        <v>2.4420245541324912E-2</v>
      </c>
      <c r="Z542" s="3">
        <f t="shared" si="26"/>
        <v>-8.9439038967064517E-3</v>
      </c>
    </row>
    <row r="543" spans="20:26" x14ac:dyDescent="0.25">
      <c r="T543" s="3" t="s">
        <v>544</v>
      </c>
      <c r="U543" s="3" t="s">
        <v>548</v>
      </c>
      <c r="V543" s="3">
        <v>7662750.2800000003</v>
      </c>
      <c r="W543" s="3">
        <v>3749179.75</v>
      </c>
      <c r="X543" s="3">
        <f t="shared" si="24"/>
        <v>1.9059727885771666E-2</v>
      </c>
      <c r="Y543" s="3">
        <f t="shared" si="25"/>
        <v>1.0110932485110727E-2</v>
      </c>
      <c r="Z543" s="3">
        <f t="shared" si="26"/>
        <v>-8.9487954006609392E-3</v>
      </c>
    </row>
    <row r="544" spans="20:26" x14ac:dyDescent="0.25">
      <c r="T544" s="3" t="s">
        <v>352</v>
      </c>
      <c r="U544" s="3" t="s">
        <v>362</v>
      </c>
      <c r="V544" s="3">
        <v>20736596.66</v>
      </c>
      <c r="W544" s="3">
        <v>15538436.630000001</v>
      </c>
      <c r="X544" s="3">
        <f t="shared" si="24"/>
        <v>5.1578594522148719E-2</v>
      </c>
      <c r="Y544" s="3">
        <f t="shared" si="25"/>
        <v>4.1904654928881832E-2</v>
      </c>
      <c r="Z544" s="3">
        <f t="shared" si="26"/>
        <v>-9.6739395932668865E-3</v>
      </c>
    </row>
    <row r="545" spans="20:26" x14ac:dyDescent="0.25">
      <c r="T545" s="3" t="s">
        <v>441</v>
      </c>
      <c r="U545" s="3" t="s">
        <v>442</v>
      </c>
      <c r="V545" s="3">
        <v>12435252.52</v>
      </c>
      <c r="W545" s="3">
        <v>7818406.8200000003</v>
      </c>
      <c r="X545" s="3">
        <f t="shared" si="24"/>
        <v>3.0930478034846824E-2</v>
      </c>
      <c r="Y545" s="3">
        <f t="shared" si="25"/>
        <v>2.1084980920999922E-2</v>
      </c>
      <c r="Z545" s="3">
        <f t="shared" si="26"/>
        <v>-9.8454971138469023E-3</v>
      </c>
    </row>
    <row r="546" spans="20:26" x14ac:dyDescent="0.25">
      <c r="T546" s="3" t="s">
        <v>491</v>
      </c>
      <c r="U546" s="3" t="s">
        <v>494</v>
      </c>
      <c r="V546" s="3">
        <v>9533314.3100000005</v>
      </c>
      <c r="W546" s="3">
        <v>5068196.84</v>
      </c>
      <c r="X546" s="3">
        <f t="shared" si="24"/>
        <v>2.3712423080311195E-2</v>
      </c>
      <c r="Y546" s="3">
        <f t="shared" si="25"/>
        <v>1.3668108623090567E-2</v>
      </c>
      <c r="Z546" s="3">
        <f t="shared" si="26"/>
        <v>-1.0044314457220628E-2</v>
      </c>
    </row>
    <row r="547" spans="20:26" x14ac:dyDescent="0.25">
      <c r="T547" s="3" t="s">
        <v>511</v>
      </c>
      <c r="U547" s="3" t="s">
        <v>526</v>
      </c>
      <c r="V547" s="3">
        <v>8733241.0700000003</v>
      </c>
      <c r="W547" s="3">
        <v>4285460.78</v>
      </c>
      <c r="X547" s="3">
        <f t="shared" si="24"/>
        <v>2.1722383253111228E-2</v>
      </c>
      <c r="Y547" s="3">
        <f t="shared" si="25"/>
        <v>1.1557195841082295E-2</v>
      </c>
      <c r="Z547" s="3">
        <f t="shared" si="26"/>
        <v>-1.0165187412028933E-2</v>
      </c>
    </row>
    <row r="548" spans="20:26" x14ac:dyDescent="0.25">
      <c r="T548" s="3" t="s">
        <v>354</v>
      </c>
      <c r="U548" s="3" t="s">
        <v>364</v>
      </c>
      <c r="V548" s="3">
        <v>20522449.800000001</v>
      </c>
      <c r="W548" s="3">
        <v>15124882.039999999</v>
      </c>
      <c r="X548" s="3">
        <f t="shared" si="24"/>
        <v>5.1045942311121369E-2</v>
      </c>
      <c r="Y548" s="3">
        <f t="shared" si="25"/>
        <v>4.0789364967551582E-2</v>
      </c>
      <c r="Z548" s="3">
        <f t="shared" si="26"/>
        <v>-1.0256577343569787E-2</v>
      </c>
    </row>
    <row r="549" spans="20:26" x14ac:dyDescent="0.25">
      <c r="T549" s="3" t="s">
        <v>786</v>
      </c>
      <c r="U549" s="3" t="s">
        <v>807</v>
      </c>
      <c r="V549" s="3">
        <v>5113259.68</v>
      </c>
      <c r="W549" s="3">
        <v>423811.57</v>
      </c>
      <c r="X549" s="3">
        <f t="shared" si="24"/>
        <v>1.2718323649989529E-2</v>
      </c>
      <c r="Y549" s="3">
        <f t="shared" si="25"/>
        <v>1.1429513804129502E-3</v>
      </c>
      <c r="Z549" s="3">
        <f t="shared" si="26"/>
        <v>-1.1575372269576579E-2</v>
      </c>
    </row>
    <row r="550" spans="20:26" x14ac:dyDescent="0.25">
      <c r="T550" s="3" t="s">
        <v>383</v>
      </c>
      <c r="U550" s="3" t="s">
        <v>385</v>
      </c>
      <c r="V550" s="3">
        <v>19208545.09</v>
      </c>
      <c r="W550" s="3">
        <v>13358292.039999999</v>
      </c>
      <c r="X550" s="3">
        <f t="shared" si="24"/>
        <v>4.777783812850226E-2</v>
      </c>
      <c r="Y550" s="3">
        <f t="shared" si="25"/>
        <v>3.602515695141905E-2</v>
      </c>
      <c r="Z550" s="3">
        <f t="shared" si="26"/>
        <v>-1.175268117708321E-2</v>
      </c>
    </row>
    <row r="551" spans="20:26" x14ac:dyDescent="0.25">
      <c r="T551" s="3" t="s">
        <v>391</v>
      </c>
      <c r="U551" s="3" t="s">
        <v>393</v>
      </c>
      <c r="V551" s="3">
        <v>18181488.539999999</v>
      </c>
      <c r="W551" s="3">
        <v>12224204.390000001</v>
      </c>
      <c r="X551" s="3">
        <f t="shared" si="24"/>
        <v>4.5223217704893799E-2</v>
      </c>
      <c r="Y551" s="3">
        <f t="shared" si="25"/>
        <v>3.2966705656479703E-2</v>
      </c>
      <c r="Z551" s="3">
        <f t="shared" si="26"/>
        <v>-1.2256512048414096E-2</v>
      </c>
    </row>
    <row r="552" spans="20:26" x14ac:dyDescent="0.25">
      <c r="T552" s="3" t="s">
        <v>514</v>
      </c>
      <c r="U552" s="3" t="s">
        <v>529</v>
      </c>
      <c r="V552" s="3">
        <v>9639969.8800000008</v>
      </c>
      <c r="W552" s="3">
        <v>4177658.01</v>
      </c>
      <c r="X552" s="3">
        <f t="shared" si="24"/>
        <v>2.3977709833424839E-2</v>
      </c>
      <c r="Y552" s="3">
        <f t="shared" si="25"/>
        <v>1.1266469175022092E-2</v>
      </c>
      <c r="Z552" s="3">
        <f t="shared" si="26"/>
        <v>-1.2711240658402748E-2</v>
      </c>
    </row>
    <row r="553" spans="20:26" x14ac:dyDescent="0.25">
      <c r="T553" s="3" t="s">
        <v>210</v>
      </c>
      <c r="U553" s="3" t="s">
        <v>212</v>
      </c>
      <c r="V553" s="3">
        <v>73071019.930000007</v>
      </c>
      <c r="W553" s="3">
        <v>62519533.710000001</v>
      </c>
      <c r="X553" s="3">
        <f t="shared" si="24"/>
        <v>0.18175116052478199</v>
      </c>
      <c r="Y553" s="3">
        <f t="shared" si="25"/>
        <v>0.16860508871104785</v>
      </c>
      <c r="Z553" s="3">
        <f t="shared" si="26"/>
        <v>-1.3146071813734145E-2</v>
      </c>
    </row>
    <row r="554" spans="20:26" x14ac:dyDescent="0.25">
      <c r="T554" s="3" t="s">
        <v>403</v>
      </c>
      <c r="U554" s="3" t="s">
        <v>406</v>
      </c>
      <c r="V554" s="3">
        <v>17378230.059999999</v>
      </c>
      <c r="W554" s="3">
        <v>10756964.32</v>
      </c>
      <c r="X554" s="3">
        <f t="shared" si="24"/>
        <v>4.3225255159944659E-2</v>
      </c>
      <c r="Y554" s="3">
        <f t="shared" si="25"/>
        <v>2.9009796071864793E-2</v>
      </c>
      <c r="Z554" s="3">
        <f t="shared" si="26"/>
        <v>-1.4215459088079866E-2</v>
      </c>
    </row>
    <row r="555" spans="20:26" x14ac:dyDescent="0.25">
      <c r="T555" s="3" t="s">
        <v>139</v>
      </c>
      <c r="U555" s="3" t="s">
        <v>141</v>
      </c>
      <c r="V555" s="3">
        <v>174773764.90000001</v>
      </c>
      <c r="W555" s="3">
        <v>155903547.59999999</v>
      </c>
      <c r="X555" s="3">
        <f t="shared" si="24"/>
        <v>0.43471864263412102</v>
      </c>
      <c r="Y555" s="3">
        <f t="shared" si="25"/>
        <v>0.42044669743371105</v>
      </c>
      <c r="Z555" s="3">
        <f t="shared" si="26"/>
        <v>-1.4271945200409974E-2</v>
      </c>
    </row>
    <row r="556" spans="20:26" x14ac:dyDescent="0.25">
      <c r="T556" s="3" t="s">
        <v>252</v>
      </c>
      <c r="U556" s="3" t="s">
        <v>254</v>
      </c>
      <c r="V556" s="3">
        <v>51908492.689999998</v>
      </c>
      <c r="W556" s="3">
        <v>42550810.740000002</v>
      </c>
      <c r="X556" s="3">
        <f t="shared" si="24"/>
        <v>0.12911313947085426</v>
      </c>
      <c r="Y556" s="3">
        <f t="shared" si="25"/>
        <v>0.11475266678767922</v>
      </c>
      <c r="Z556" s="3">
        <f t="shared" si="26"/>
        <v>-1.4360472683175043E-2</v>
      </c>
    </row>
    <row r="557" spans="20:26" x14ac:dyDescent="0.25">
      <c r="T557" s="3" t="s">
        <v>343</v>
      </c>
      <c r="U557" s="3" t="s">
        <v>345</v>
      </c>
      <c r="V557" s="3">
        <v>24436143.359999999</v>
      </c>
      <c r="W557" s="3">
        <v>17098175.18</v>
      </c>
      <c r="X557" s="3">
        <f t="shared" si="24"/>
        <v>6.0780558676813111E-2</v>
      </c>
      <c r="Y557" s="3">
        <f t="shared" si="25"/>
        <v>4.6111017980286474E-2</v>
      </c>
      <c r="Z557" s="3">
        <f t="shared" si="26"/>
        <v>-1.4669540696526637E-2</v>
      </c>
    </row>
    <row r="558" spans="20:26" x14ac:dyDescent="0.25">
      <c r="T558" s="3" t="s">
        <v>356</v>
      </c>
      <c r="U558" s="3" t="s">
        <v>366</v>
      </c>
      <c r="V558" s="3">
        <v>22057263.629999999</v>
      </c>
      <c r="W558" s="3">
        <v>14674103.460000001</v>
      </c>
      <c r="X558" s="3">
        <f t="shared" si="24"/>
        <v>5.4863518623306629E-2</v>
      </c>
      <c r="Y558" s="3">
        <f t="shared" si="25"/>
        <v>3.9573687914960527E-2</v>
      </c>
      <c r="Z558" s="3">
        <f t="shared" si="26"/>
        <v>-1.5289830708346101E-2</v>
      </c>
    </row>
    <row r="559" spans="20:26" x14ac:dyDescent="0.25">
      <c r="T559" s="3">
        <v>90688</v>
      </c>
      <c r="U559" s="3" t="s">
        <v>455</v>
      </c>
      <c r="V559" s="3">
        <v>13938736.74</v>
      </c>
      <c r="W559" s="3">
        <v>7178617.0499999998</v>
      </c>
      <c r="X559" s="3">
        <f t="shared" si="24"/>
        <v>3.4670127516645111E-2</v>
      </c>
      <c r="Y559" s="3">
        <f t="shared" si="25"/>
        <v>1.9359571204612087E-2</v>
      </c>
      <c r="Z559" s="3">
        <f t="shared" si="26"/>
        <v>-1.5310556312033024E-2</v>
      </c>
    </row>
    <row r="560" spans="20:26" x14ac:dyDescent="0.25">
      <c r="T560" s="3" t="s">
        <v>245</v>
      </c>
      <c r="U560" s="3" t="s">
        <v>247</v>
      </c>
      <c r="V560" s="3">
        <v>60999248.25</v>
      </c>
      <c r="W560" s="3">
        <v>50266359.93</v>
      </c>
      <c r="X560" s="3">
        <f t="shared" si="24"/>
        <v>0.15172477640516732</v>
      </c>
      <c r="Y560" s="3">
        <f t="shared" si="25"/>
        <v>0.13556025728681192</v>
      </c>
      <c r="Z560" s="3">
        <f t="shared" si="26"/>
        <v>-1.6164519118355397E-2</v>
      </c>
    </row>
    <row r="561" spans="20:26" x14ac:dyDescent="0.25">
      <c r="T561" s="3" t="s">
        <v>493</v>
      </c>
      <c r="U561" s="3" t="s">
        <v>496</v>
      </c>
      <c r="V561" s="3">
        <v>12382730.65</v>
      </c>
      <c r="W561" s="3">
        <v>4997448.21</v>
      </c>
      <c r="X561" s="3">
        <f t="shared" si="24"/>
        <v>3.0799839228455778E-2</v>
      </c>
      <c r="Y561" s="3">
        <f t="shared" si="25"/>
        <v>1.3477310990263258E-2</v>
      </c>
      <c r="Z561" s="3">
        <f t="shared" si="26"/>
        <v>-1.7322528238192518E-2</v>
      </c>
    </row>
    <row r="562" spans="20:26" x14ac:dyDescent="0.25">
      <c r="T562" s="3" t="s">
        <v>236</v>
      </c>
      <c r="U562" s="3" t="s">
        <v>239</v>
      </c>
      <c r="V562" s="3">
        <v>63461132.549999997</v>
      </c>
      <c r="W562" s="3">
        <v>51788990.640000001</v>
      </c>
      <c r="X562" s="3">
        <f t="shared" si="24"/>
        <v>0.15784827555751782</v>
      </c>
      <c r="Y562" s="3">
        <f t="shared" si="25"/>
        <v>0.13966654648475346</v>
      </c>
      <c r="Z562" s="3">
        <f t="shared" si="26"/>
        <v>-1.8181729072764358E-2</v>
      </c>
    </row>
    <row r="563" spans="20:26" x14ac:dyDescent="0.25">
      <c r="T563" s="3" t="s">
        <v>392</v>
      </c>
      <c r="U563" s="3" t="s">
        <v>394</v>
      </c>
      <c r="V563" s="3">
        <v>20626986</v>
      </c>
      <c r="W563" s="3">
        <v>12107604.02</v>
      </c>
      <c r="X563" s="3">
        <f t="shared" si="24"/>
        <v>5.1305957508460232E-2</v>
      </c>
      <c r="Y563" s="3">
        <f t="shared" si="25"/>
        <v>3.2652253283581623E-2</v>
      </c>
      <c r="Z563" s="3">
        <f t="shared" si="26"/>
        <v>-1.8653704224878609E-2</v>
      </c>
    </row>
    <row r="564" spans="20:26" x14ac:dyDescent="0.25">
      <c r="T564" s="3" t="s">
        <v>505</v>
      </c>
      <c r="U564" s="3" t="s">
        <v>520</v>
      </c>
      <c r="V564" s="3">
        <v>12633369.890000001</v>
      </c>
      <c r="W564" s="3">
        <v>4653362.8899999997</v>
      </c>
      <c r="X564" s="3">
        <f t="shared" si="24"/>
        <v>3.1423259741631709E-2</v>
      </c>
      <c r="Y564" s="3">
        <f t="shared" si="25"/>
        <v>1.2549368434391478E-2</v>
      </c>
      <c r="Z564" s="3">
        <f t="shared" si="26"/>
        <v>-1.887389130724023E-2</v>
      </c>
    </row>
    <row r="565" spans="20:26" x14ac:dyDescent="0.25">
      <c r="T565" s="3" t="s">
        <v>653</v>
      </c>
      <c r="U565" s="3" t="s">
        <v>655</v>
      </c>
      <c r="V565" s="3">
        <v>9448386.6799999997</v>
      </c>
      <c r="W565" s="3">
        <v>1701300.61</v>
      </c>
      <c r="X565" s="3">
        <f t="shared" si="24"/>
        <v>2.3501180711887892E-2</v>
      </c>
      <c r="Y565" s="3">
        <f t="shared" si="25"/>
        <v>4.5881330721973777E-3</v>
      </c>
      <c r="Z565" s="3">
        <f t="shared" si="26"/>
        <v>-1.8913047639690515E-2</v>
      </c>
    </row>
    <row r="566" spans="20:26" x14ac:dyDescent="0.25">
      <c r="T566" s="3" t="s">
        <v>430</v>
      </c>
      <c r="U566" s="3" t="s">
        <v>434</v>
      </c>
      <c r="V566" s="3">
        <v>17531150.760000002</v>
      </c>
      <c r="W566" s="3">
        <v>8709123.8200000003</v>
      </c>
      <c r="X566" s="3">
        <f t="shared" si="24"/>
        <v>4.3605618191963201E-2</v>
      </c>
      <c r="Y566" s="3">
        <f t="shared" si="25"/>
        <v>2.348710086479306E-2</v>
      </c>
      <c r="Z566" s="3">
        <f t="shared" si="26"/>
        <v>-2.0118517327170141E-2</v>
      </c>
    </row>
    <row r="567" spans="20:26" x14ac:dyDescent="0.25">
      <c r="T567" s="3" t="s">
        <v>569</v>
      </c>
      <c r="U567" s="3" t="s">
        <v>573</v>
      </c>
      <c r="V567" s="3">
        <v>11688949.289999999</v>
      </c>
      <c r="W567" s="3">
        <v>2719370.98</v>
      </c>
      <c r="X567" s="3">
        <f t="shared" si="24"/>
        <v>2.9074181540205937E-2</v>
      </c>
      <c r="Y567" s="3">
        <f t="shared" si="25"/>
        <v>7.3337044938294555E-3</v>
      </c>
      <c r="Z567" s="3">
        <f t="shared" si="26"/>
        <v>-2.174047704637648E-2</v>
      </c>
    </row>
    <row r="568" spans="20:26" x14ac:dyDescent="0.25">
      <c r="T568" s="3">
        <v>90740</v>
      </c>
      <c r="U568" s="3" t="s">
        <v>473</v>
      </c>
      <c r="V568" s="3">
        <v>15910275.310000001</v>
      </c>
      <c r="W568" s="3">
        <v>6393447.8799999999</v>
      </c>
      <c r="X568" s="3">
        <f t="shared" si="24"/>
        <v>3.9573978913000858E-2</v>
      </c>
      <c r="Y568" s="3">
        <f t="shared" si="25"/>
        <v>1.7242096717756547E-2</v>
      </c>
      <c r="Z568" s="3">
        <f t="shared" si="26"/>
        <v>-2.2331882195244311E-2</v>
      </c>
    </row>
    <row r="569" spans="20:26" x14ac:dyDescent="0.25">
      <c r="T569" s="3" t="s">
        <v>238</v>
      </c>
      <c r="U569" s="3" t="s">
        <v>241</v>
      </c>
      <c r="V569" s="3">
        <v>64645785.119999997</v>
      </c>
      <c r="W569" s="3">
        <v>51146680.039999999</v>
      </c>
      <c r="X569" s="3">
        <f t="shared" si="24"/>
        <v>0.16079488803976355</v>
      </c>
      <c r="Y569" s="3">
        <f t="shared" si="25"/>
        <v>0.13793433849684067</v>
      </c>
      <c r="Z569" s="3">
        <f t="shared" si="26"/>
        <v>-2.2860549542922881E-2</v>
      </c>
    </row>
    <row r="570" spans="20:26" x14ac:dyDescent="0.25">
      <c r="T570" s="3" t="s">
        <v>111</v>
      </c>
      <c r="U570" s="3" t="s">
        <v>116</v>
      </c>
      <c r="V570" s="3">
        <v>234996474.5</v>
      </c>
      <c r="W570" s="3">
        <v>208017215.30000001</v>
      </c>
      <c r="X570" s="3">
        <f t="shared" si="24"/>
        <v>0.58451191731719587</v>
      </c>
      <c r="Y570" s="3">
        <f t="shared" si="25"/>
        <v>0.56098884553055706</v>
      </c>
      <c r="Z570" s="3">
        <f t="shared" si="26"/>
        <v>-2.3523071786638816E-2</v>
      </c>
    </row>
    <row r="571" spans="20:26" x14ac:dyDescent="0.25">
      <c r="T571" s="3" t="s">
        <v>4</v>
      </c>
      <c r="U571" s="3" t="s">
        <v>9</v>
      </c>
      <c r="V571" s="3">
        <v>1715907188</v>
      </c>
      <c r="W571" s="3">
        <v>1573611853</v>
      </c>
      <c r="X571" s="3">
        <f t="shared" si="24"/>
        <v>4.268013818208316</v>
      </c>
      <c r="Y571" s="3">
        <f t="shared" si="25"/>
        <v>4.2437771097672732</v>
      </c>
      <c r="Z571" s="3">
        <f t="shared" si="26"/>
        <v>-2.4236708441042865E-2</v>
      </c>
    </row>
    <row r="572" spans="20:26" x14ac:dyDescent="0.25">
      <c r="T572" s="3" t="s">
        <v>737</v>
      </c>
      <c r="U572" s="3" t="s">
        <v>739</v>
      </c>
      <c r="V572" s="3">
        <v>10919480.32</v>
      </c>
      <c r="W572" s="3">
        <v>762979.76</v>
      </c>
      <c r="X572" s="3">
        <f t="shared" si="24"/>
        <v>2.7160264389202944E-2</v>
      </c>
      <c r="Y572" s="3">
        <f t="shared" si="25"/>
        <v>2.0576332305395563E-3</v>
      </c>
      <c r="Z572" s="3">
        <f t="shared" si="26"/>
        <v>-2.5102631158663388E-2</v>
      </c>
    </row>
    <row r="573" spans="20:26" x14ac:dyDescent="0.25">
      <c r="T573" s="3" t="s">
        <v>261</v>
      </c>
      <c r="U573" s="3" t="s">
        <v>267</v>
      </c>
      <c r="V573" s="3">
        <v>50595895.390000001</v>
      </c>
      <c r="W573" s="3">
        <v>36869429.969999999</v>
      </c>
      <c r="X573" s="3">
        <f t="shared" si="24"/>
        <v>0.12584828723798225</v>
      </c>
      <c r="Y573" s="3">
        <f t="shared" si="25"/>
        <v>9.9430900103199382E-2</v>
      </c>
      <c r="Z573" s="3">
        <f t="shared" si="26"/>
        <v>-2.6417387134782866E-2</v>
      </c>
    </row>
    <row r="574" spans="20:26" x14ac:dyDescent="0.25">
      <c r="T574" s="3" t="s">
        <v>281</v>
      </c>
      <c r="U574" s="3" t="s">
        <v>284</v>
      </c>
      <c r="V574" s="3">
        <v>44385976.609999999</v>
      </c>
      <c r="W574" s="3">
        <v>31007893.030000001</v>
      </c>
      <c r="X574" s="3">
        <f t="shared" si="24"/>
        <v>0.11040221920566434</v>
      </c>
      <c r="Y574" s="3">
        <f t="shared" si="25"/>
        <v>8.3623281314230274E-2</v>
      </c>
      <c r="Z574" s="3">
        <f t="shared" si="26"/>
        <v>-2.6778937891434068E-2</v>
      </c>
    </row>
    <row r="575" spans="20:26" x14ac:dyDescent="0.25">
      <c r="T575" s="3">
        <v>90686</v>
      </c>
      <c r="U575" s="3" t="s">
        <v>295</v>
      </c>
      <c r="V575" s="3">
        <v>39825826.170000002</v>
      </c>
      <c r="W575" s="3">
        <v>26785304.370000001</v>
      </c>
      <c r="X575" s="3">
        <f t="shared" si="24"/>
        <v>9.9059656375262164E-2</v>
      </c>
      <c r="Y575" s="3">
        <f t="shared" si="25"/>
        <v>7.2235641430158509E-2</v>
      </c>
      <c r="Z575" s="3">
        <f t="shared" si="26"/>
        <v>-2.6824014945103655E-2</v>
      </c>
    </row>
    <row r="576" spans="20:26" x14ac:dyDescent="0.25">
      <c r="T576" s="3" t="s">
        <v>262</v>
      </c>
      <c r="U576" s="3" t="s">
        <v>268</v>
      </c>
      <c r="V576" s="3">
        <v>52623538.840000004</v>
      </c>
      <c r="W576" s="3">
        <v>36088116.979999997</v>
      </c>
      <c r="X576" s="3">
        <f t="shared" si="24"/>
        <v>0.13089168954057789</v>
      </c>
      <c r="Y576" s="3">
        <f t="shared" si="25"/>
        <v>9.7323825111228127E-2</v>
      </c>
      <c r="Z576" s="3">
        <f t="shared" si="26"/>
        <v>-3.3567864429349767E-2</v>
      </c>
    </row>
    <row r="577" spans="20:26" x14ac:dyDescent="0.25">
      <c r="T577" s="3" t="s">
        <v>246</v>
      </c>
      <c r="U577" s="3" t="s">
        <v>248</v>
      </c>
      <c r="V577" s="3">
        <v>67115509.290000007</v>
      </c>
      <c r="W577" s="3">
        <v>49083316.469999999</v>
      </c>
      <c r="X577" s="3">
        <f t="shared" si="24"/>
        <v>0.16693788747378838</v>
      </c>
      <c r="Y577" s="3">
        <f t="shared" si="25"/>
        <v>0.13236978007616024</v>
      </c>
      <c r="Z577" s="3">
        <f t="shared" si="26"/>
        <v>-3.4568107397628139E-2</v>
      </c>
    </row>
    <row r="578" spans="20:26" x14ac:dyDescent="0.25">
      <c r="T578" s="3" t="s">
        <v>122</v>
      </c>
      <c r="U578" s="3" t="s">
        <v>124</v>
      </c>
      <c r="V578" s="3">
        <v>211251085.40000001</v>
      </c>
      <c r="W578" s="3">
        <v>181314390.30000001</v>
      </c>
      <c r="X578" s="3">
        <f t="shared" ref="X578:X618" si="27">V578/(R$2*12)</f>
        <v>0.52544948695599558</v>
      </c>
      <c r="Y578" s="3">
        <f t="shared" ref="Y578:Y618" si="28">W578/(R$3*12)</f>
        <v>0.48897563764509172</v>
      </c>
      <c r="Z578" s="3">
        <f t="shared" ref="Z578:Z618" si="29">Y578-X578</f>
        <v>-3.6473849310903861E-2</v>
      </c>
    </row>
    <row r="579" spans="20:26" x14ac:dyDescent="0.25">
      <c r="T579" s="3" t="s">
        <v>1455</v>
      </c>
      <c r="U579" s="3" t="s">
        <v>1586</v>
      </c>
      <c r="V579" s="3">
        <v>18810084.969999999</v>
      </c>
      <c r="W579" s="3">
        <v>3490059.54</v>
      </c>
      <c r="X579" s="3">
        <f t="shared" si="27"/>
        <v>4.6786739478145101E-2</v>
      </c>
      <c r="Y579" s="3">
        <f t="shared" si="28"/>
        <v>9.4121271133923625E-3</v>
      </c>
      <c r="Z579" s="3">
        <f t="shared" si="29"/>
        <v>-3.7374612364752736E-2</v>
      </c>
    </row>
    <row r="580" spans="20:26" x14ac:dyDescent="0.25">
      <c r="T580" s="3" t="s">
        <v>568</v>
      </c>
      <c r="U580" s="3" t="s">
        <v>572</v>
      </c>
      <c r="V580" s="3">
        <v>19360462.109999999</v>
      </c>
      <c r="W580" s="3">
        <v>2777172.22</v>
      </c>
      <c r="X580" s="3">
        <f t="shared" si="27"/>
        <v>4.8155704685105917E-2</v>
      </c>
      <c r="Y580" s="3">
        <f t="shared" si="28"/>
        <v>7.4895851061675765E-3</v>
      </c>
      <c r="Z580" s="3">
        <f t="shared" si="29"/>
        <v>-4.0666119578938342E-2</v>
      </c>
    </row>
    <row r="581" spans="20:26" x14ac:dyDescent="0.25">
      <c r="T581" s="3" t="s">
        <v>258</v>
      </c>
      <c r="U581" s="3" t="s">
        <v>264</v>
      </c>
      <c r="V581" s="3">
        <v>60016027.350000001</v>
      </c>
      <c r="W581" s="3">
        <v>39771237.140000001</v>
      </c>
      <c r="X581" s="3">
        <f t="shared" si="27"/>
        <v>0.14927918936124196</v>
      </c>
      <c r="Y581" s="3">
        <f t="shared" si="28"/>
        <v>0.1072566055473516</v>
      </c>
      <c r="Z581" s="3">
        <f t="shared" si="29"/>
        <v>-4.202258381389036E-2</v>
      </c>
    </row>
    <row r="582" spans="20:26" x14ac:dyDescent="0.25">
      <c r="T582" s="3" t="s">
        <v>274</v>
      </c>
      <c r="U582" s="3" t="s">
        <v>276</v>
      </c>
      <c r="V582" s="3">
        <v>53631973.359999999</v>
      </c>
      <c r="W582" s="3">
        <v>32625429.989999998</v>
      </c>
      <c r="X582" s="3">
        <f t="shared" si="27"/>
        <v>0.13339999097798538</v>
      </c>
      <c r="Y582" s="3">
        <f t="shared" si="28"/>
        <v>8.7985517345919931E-2</v>
      </c>
      <c r="Z582" s="3">
        <f t="shared" si="29"/>
        <v>-4.5414473632065452E-2</v>
      </c>
    </row>
    <row r="583" spans="20:26" x14ac:dyDescent="0.25">
      <c r="T583" s="3" t="s">
        <v>327</v>
      </c>
      <c r="U583" s="3" t="s">
        <v>333</v>
      </c>
      <c r="V583" s="3">
        <v>39527774.890000001</v>
      </c>
      <c r="W583" s="3">
        <v>18684232.199999999</v>
      </c>
      <c r="X583" s="3">
        <f t="shared" si="27"/>
        <v>9.8318306848626413E-2</v>
      </c>
      <c r="Y583" s="3">
        <f t="shared" si="28"/>
        <v>5.0388357696195242E-2</v>
      </c>
      <c r="Z583" s="3">
        <f t="shared" si="29"/>
        <v>-4.7929949152431171E-2</v>
      </c>
    </row>
    <row r="584" spans="20:26" x14ac:dyDescent="0.25">
      <c r="T584" s="3" t="s">
        <v>313</v>
      </c>
      <c r="U584" s="3" t="s">
        <v>319</v>
      </c>
      <c r="V584" s="3">
        <v>40862655.009999998</v>
      </c>
      <c r="W584" s="3">
        <v>19374146.18</v>
      </c>
      <c r="X584" s="3">
        <f t="shared" si="27"/>
        <v>0.10163858363145878</v>
      </c>
      <c r="Y584" s="3">
        <f t="shared" si="28"/>
        <v>5.2248944314458624E-2</v>
      </c>
      <c r="Z584" s="3">
        <f t="shared" si="29"/>
        <v>-4.9389639317000154E-2</v>
      </c>
    </row>
    <row r="585" spans="20:26" x14ac:dyDescent="0.25">
      <c r="T585" s="3" t="s">
        <v>144</v>
      </c>
      <c r="U585" s="3" t="s">
        <v>145</v>
      </c>
      <c r="V585" s="3">
        <v>188526960.90000001</v>
      </c>
      <c r="W585" s="3">
        <v>153583746.69999999</v>
      </c>
      <c r="X585" s="3">
        <f t="shared" si="27"/>
        <v>0.46892727057334227</v>
      </c>
      <c r="Y585" s="3">
        <f t="shared" si="28"/>
        <v>0.41419056893552447</v>
      </c>
      <c r="Z585" s="3">
        <f t="shared" si="29"/>
        <v>-5.4736701637817797E-2</v>
      </c>
    </row>
    <row r="586" spans="20:26" x14ac:dyDescent="0.25">
      <c r="T586" s="3" t="s">
        <v>257</v>
      </c>
      <c r="U586" s="3" t="s">
        <v>263</v>
      </c>
      <c r="V586" s="3">
        <v>68335698.129999995</v>
      </c>
      <c r="W586" s="3">
        <v>42012477.340000004</v>
      </c>
      <c r="X586" s="3">
        <f t="shared" si="27"/>
        <v>0.16997289010467864</v>
      </c>
      <c r="Y586" s="3">
        <f t="shared" si="28"/>
        <v>0.11330086852117036</v>
      </c>
      <c r="Z586" s="3">
        <f t="shared" si="29"/>
        <v>-5.6672021583508286E-2</v>
      </c>
    </row>
    <row r="587" spans="20:26" x14ac:dyDescent="0.25">
      <c r="T587" s="3" t="s">
        <v>350</v>
      </c>
      <c r="U587" s="3" t="s">
        <v>360</v>
      </c>
      <c r="V587" s="3">
        <v>40366233.530000001</v>
      </c>
      <c r="W587" s="3">
        <v>16004307.51</v>
      </c>
      <c r="X587" s="3">
        <f t="shared" si="27"/>
        <v>0.10040382352839929</v>
      </c>
      <c r="Y587" s="3">
        <f t="shared" si="28"/>
        <v>4.3161033477938891E-2</v>
      </c>
      <c r="Z587" s="3">
        <f t="shared" si="29"/>
        <v>-5.7242790050460395E-2</v>
      </c>
    </row>
    <row r="588" spans="20:26" x14ac:dyDescent="0.25">
      <c r="T588" s="3" t="s">
        <v>282</v>
      </c>
      <c r="U588" s="3" t="s">
        <v>285</v>
      </c>
      <c r="V588" s="3">
        <v>55671124.289999999</v>
      </c>
      <c r="W588" s="3">
        <v>30089063.170000002</v>
      </c>
      <c r="X588" s="3">
        <f t="shared" si="27"/>
        <v>0.13847201608955123</v>
      </c>
      <c r="Y588" s="3">
        <f t="shared" si="28"/>
        <v>8.1145345525805157E-2</v>
      </c>
      <c r="Z588" s="3">
        <f t="shared" si="29"/>
        <v>-5.7326670563746074E-2</v>
      </c>
    </row>
    <row r="589" spans="20:26" x14ac:dyDescent="0.25">
      <c r="T589" s="3" t="s">
        <v>329</v>
      </c>
      <c r="U589" s="3" t="s">
        <v>335</v>
      </c>
      <c r="V589" s="3">
        <v>44460521.469999999</v>
      </c>
      <c r="W589" s="3">
        <v>18199047.710000001</v>
      </c>
      <c r="X589" s="3">
        <f t="shared" si="27"/>
        <v>0.11058763628112239</v>
      </c>
      <c r="Y589" s="3">
        <f t="shared" si="28"/>
        <v>4.9079893459127694E-2</v>
      </c>
      <c r="Z589" s="3">
        <f t="shared" si="29"/>
        <v>-6.1507742821994699E-2</v>
      </c>
    </row>
    <row r="590" spans="20:26" x14ac:dyDescent="0.25">
      <c r="T590" s="3" t="s">
        <v>344</v>
      </c>
      <c r="U590" s="3" t="s">
        <v>346</v>
      </c>
      <c r="V590" s="3">
        <v>44821632.310000002</v>
      </c>
      <c r="W590" s="3">
        <v>17020133.18</v>
      </c>
      <c r="X590" s="3">
        <f t="shared" si="27"/>
        <v>0.11148583524304947</v>
      </c>
      <c r="Y590" s="3">
        <f t="shared" si="28"/>
        <v>4.5900551306075135E-2</v>
      </c>
      <c r="Z590" s="3">
        <f t="shared" si="29"/>
        <v>-6.558528393697434E-2</v>
      </c>
    </row>
    <row r="591" spans="20:26" x14ac:dyDescent="0.25">
      <c r="T591" s="3" t="s">
        <v>273</v>
      </c>
      <c r="U591" s="3" t="s">
        <v>275</v>
      </c>
      <c r="V591" s="3">
        <v>62339927.130000003</v>
      </c>
      <c r="W591" s="3">
        <v>33142126.129999999</v>
      </c>
      <c r="X591" s="3">
        <f t="shared" si="27"/>
        <v>0.15505947657172439</v>
      </c>
      <c r="Y591" s="3">
        <f t="shared" si="28"/>
        <v>8.9378963415518833E-2</v>
      </c>
      <c r="Z591" s="3">
        <f t="shared" si="29"/>
        <v>-6.5680513156205558E-2</v>
      </c>
    </row>
    <row r="592" spans="20:26" x14ac:dyDescent="0.25">
      <c r="T592" s="3" t="s">
        <v>107</v>
      </c>
      <c r="U592" s="3" t="s">
        <v>112</v>
      </c>
      <c r="V592" s="3">
        <v>271873373.89999998</v>
      </c>
      <c r="W592" s="3">
        <v>224127403</v>
      </c>
      <c r="X592" s="3">
        <f t="shared" si="27"/>
        <v>0.6762366430556126</v>
      </c>
      <c r="Y592" s="3">
        <f t="shared" si="28"/>
        <v>0.60443542078669432</v>
      </c>
      <c r="Z592" s="3">
        <f t="shared" si="29"/>
        <v>-7.1801222268918274E-2</v>
      </c>
    </row>
    <row r="593" spans="20:26" x14ac:dyDescent="0.25">
      <c r="T593" s="3" t="s">
        <v>314</v>
      </c>
      <c r="U593" s="3" t="s">
        <v>320</v>
      </c>
      <c r="V593" s="3">
        <v>50867872.009999998</v>
      </c>
      <c r="W593" s="3">
        <v>19241339.010000002</v>
      </c>
      <c r="X593" s="3">
        <f t="shared" si="27"/>
        <v>0.12652478068734099</v>
      </c>
      <c r="Y593" s="3">
        <f t="shared" si="28"/>
        <v>5.1890784818529254E-2</v>
      </c>
      <c r="Z593" s="3">
        <f t="shared" si="29"/>
        <v>-7.4633995868811739E-2</v>
      </c>
    </row>
    <row r="594" spans="20:26" x14ac:dyDescent="0.25">
      <c r="T594" s="3" t="s">
        <v>482</v>
      </c>
      <c r="U594" s="3" t="s">
        <v>486</v>
      </c>
      <c r="V594" s="3">
        <v>36353455.030000001</v>
      </c>
      <c r="W594" s="3">
        <v>5626185.5499999998</v>
      </c>
      <c r="X594" s="3">
        <f t="shared" si="27"/>
        <v>9.0422751004674159E-2</v>
      </c>
      <c r="Y594" s="3">
        <f t="shared" si="28"/>
        <v>1.5172914087342854E-2</v>
      </c>
      <c r="Z594" s="3">
        <f t="shared" si="29"/>
        <v>-7.5249836917331309E-2</v>
      </c>
    </row>
    <row r="595" spans="20:26" x14ac:dyDescent="0.25">
      <c r="T595" s="3">
        <v>90732</v>
      </c>
      <c r="U595" s="3" t="s">
        <v>149</v>
      </c>
      <c r="V595" s="3">
        <v>186378938.90000001</v>
      </c>
      <c r="W595" s="3">
        <v>142689613.90000001</v>
      </c>
      <c r="X595" s="3">
        <f t="shared" si="27"/>
        <v>0.46358444804661747</v>
      </c>
      <c r="Y595" s="3">
        <f t="shared" si="28"/>
        <v>0.3848108516187887</v>
      </c>
      <c r="Z595" s="3">
        <f t="shared" si="29"/>
        <v>-7.8773596427828774E-2</v>
      </c>
    </row>
    <row r="596" spans="20:26" x14ac:dyDescent="0.25">
      <c r="T596" s="3" t="s">
        <v>148</v>
      </c>
      <c r="U596" s="3" t="s">
        <v>151</v>
      </c>
      <c r="V596" s="3">
        <v>182346364.09999999</v>
      </c>
      <c r="W596" s="3">
        <v>138532657.5</v>
      </c>
      <c r="X596" s="3">
        <f t="shared" si="27"/>
        <v>0.45355413574900461</v>
      </c>
      <c r="Y596" s="3">
        <f t="shared" si="28"/>
        <v>0.37360021134368609</v>
      </c>
      <c r="Z596" s="3">
        <f t="shared" si="29"/>
        <v>-7.9953924405318511E-2</v>
      </c>
    </row>
    <row r="597" spans="20:26" x14ac:dyDescent="0.25">
      <c r="T597" s="3" t="s">
        <v>204</v>
      </c>
      <c r="U597" s="3" t="s">
        <v>206</v>
      </c>
      <c r="V597" s="3">
        <v>107171714</v>
      </c>
      <c r="W597" s="3">
        <v>64832002.149999999</v>
      </c>
      <c r="X597" s="3">
        <f t="shared" si="27"/>
        <v>0.26657056947596958</v>
      </c>
      <c r="Y597" s="3">
        <f t="shared" si="28"/>
        <v>0.17484144274843144</v>
      </c>
      <c r="Z597" s="3">
        <f t="shared" si="29"/>
        <v>-9.1729126727538135E-2</v>
      </c>
    </row>
    <row r="598" spans="20:26" x14ac:dyDescent="0.25">
      <c r="T598" s="3" t="s">
        <v>506</v>
      </c>
      <c r="U598" s="3" t="s">
        <v>521</v>
      </c>
      <c r="V598" s="3">
        <v>42289694.07</v>
      </c>
      <c r="W598" s="3">
        <v>4622934.16</v>
      </c>
      <c r="X598" s="3">
        <f t="shared" si="27"/>
        <v>0.10518808937967003</v>
      </c>
      <c r="Y598" s="3">
        <f t="shared" si="28"/>
        <v>1.2467307062263972E-2</v>
      </c>
      <c r="Z598" s="3">
        <f t="shared" si="29"/>
        <v>-9.2720782317406061E-2</v>
      </c>
    </row>
    <row r="599" spans="20:26" x14ac:dyDescent="0.25">
      <c r="T599" s="3" t="s">
        <v>195</v>
      </c>
      <c r="U599" s="3" t="s">
        <v>196</v>
      </c>
      <c r="V599" s="3">
        <v>122547838.7</v>
      </c>
      <c r="W599" s="3">
        <v>75697918.430000007</v>
      </c>
      <c r="X599" s="3">
        <f t="shared" si="27"/>
        <v>0.30481594378819271</v>
      </c>
      <c r="Y599" s="3">
        <f t="shared" si="28"/>
        <v>0.2041450646662511</v>
      </c>
      <c r="Z599" s="3">
        <f t="shared" si="29"/>
        <v>-0.10067087912194161</v>
      </c>
    </row>
    <row r="600" spans="20:26" x14ac:dyDescent="0.25">
      <c r="T600" s="3" t="s">
        <v>353</v>
      </c>
      <c r="U600" s="3" t="s">
        <v>363</v>
      </c>
      <c r="V600" s="3">
        <v>62203653.049999997</v>
      </c>
      <c r="W600" s="3">
        <v>15288868.26</v>
      </c>
      <c r="X600" s="3">
        <f t="shared" si="27"/>
        <v>0.15472051904501716</v>
      </c>
      <c r="Y600" s="3">
        <f t="shared" si="28"/>
        <v>4.1231609327510188E-2</v>
      </c>
      <c r="Z600" s="3">
        <f t="shared" si="29"/>
        <v>-0.11348890971750697</v>
      </c>
    </row>
    <row r="601" spans="20:26" x14ac:dyDescent="0.25">
      <c r="T601" s="3" t="s">
        <v>504</v>
      </c>
      <c r="U601" s="3" t="s">
        <v>519</v>
      </c>
      <c r="V601" s="3">
        <v>53358295.689999998</v>
      </c>
      <c r="W601" s="3">
        <v>4715715.55</v>
      </c>
      <c r="X601" s="3">
        <f t="shared" si="27"/>
        <v>0.13271926646942003</v>
      </c>
      <c r="Y601" s="3">
        <f t="shared" si="28"/>
        <v>1.271752349164822E-2</v>
      </c>
      <c r="Z601" s="3">
        <f t="shared" si="29"/>
        <v>-0.12000174297777182</v>
      </c>
    </row>
    <row r="602" spans="20:26" x14ac:dyDescent="0.25">
      <c r="T602" s="3" t="s">
        <v>126</v>
      </c>
      <c r="U602" s="3" t="s">
        <v>127</v>
      </c>
      <c r="V602" s="3">
        <v>241282505.80000001</v>
      </c>
      <c r="W602" s="3">
        <v>177670287.30000001</v>
      </c>
      <c r="X602" s="3">
        <f t="shared" si="27"/>
        <v>0.60014730170028763</v>
      </c>
      <c r="Y602" s="3">
        <f t="shared" si="28"/>
        <v>0.47914808019021388</v>
      </c>
      <c r="Z602" s="3">
        <f t="shared" si="29"/>
        <v>-0.12099922151007375</v>
      </c>
    </row>
    <row r="603" spans="20:26" x14ac:dyDescent="0.25">
      <c r="T603" s="3" t="s">
        <v>61</v>
      </c>
      <c r="U603" s="3" t="s">
        <v>70</v>
      </c>
      <c r="V603" s="3">
        <v>443373928.89999998</v>
      </c>
      <c r="W603" s="3">
        <v>362797565.80000001</v>
      </c>
      <c r="X603" s="3">
        <f t="shared" si="27"/>
        <v>1.1028137584668194</v>
      </c>
      <c r="Y603" s="3">
        <f t="shared" si="28"/>
        <v>0.97840646172441237</v>
      </c>
      <c r="Z603" s="3">
        <f t="shared" si="29"/>
        <v>-0.12440729674240703</v>
      </c>
    </row>
    <row r="604" spans="20:26" x14ac:dyDescent="0.25">
      <c r="T604" s="3" t="s">
        <v>299</v>
      </c>
      <c r="U604" s="3" t="s">
        <v>301</v>
      </c>
      <c r="V604" s="3">
        <v>82372201.439999998</v>
      </c>
      <c r="W604" s="3">
        <v>23369415.460000001</v>
      </c>
      <c r="X604" s="3">
        <f t="shared" si="27"/>
        <v>0.20488619456856016</v>
      </c>
      <c r="Y604" s="3">
        <f t="shared" si="28"/>
        <v>6.3023540531115599E-2</v>
      </c>
      <c r="Z604" s="3">
        <f t="shared" si="29"/>
        <v>-0.14186265403744458</v>
      </c>
    </row>
    <row r="605" spans="20:26" x14ac:dyDescent="0.25">
      <c r="T605" s="3" t="s">
        <v>176</v>
      </c>
      <c r="U605" s="3" t="s">
        <v>182</v>
      </c>
      <c r="V605" s="3">
        <v>180050688.30000001</v>
      </c>
      <c r="W605" s="3">
        <v>102319393.2</v>
      </c>
      <c r="X605" s="3">
        <f t="shared" si="27"/>
        <v>0.44784405066687</v>
      </c>
      <c r="Y605" s="3">
        <f t="shared" si="28"/>
        <v>0.27593888411530487</v>
      </c>
      <c r="Z605" s="3">
        <f t="shared" si="29"/>
        <v>-0.17190516655156513</v>
      </c>
    </row>
    <row r="606" spans="20:26" x14ac:dyDescent="0.25">
      <c r="T606" s="3" t="s">
        <v>227</v>
      </c>
      <c r="U606" s="3" t="s">
        <v>231</v>
      </c>
      <c r="V606" s="3">
        <v>128170865.8</v>
      </c>
      <c r="W606" s="3">
        <v>53510927.969999999</v>
      </c>
      <c r="X606" s="3">
        <f t="shared" si="27"/>
        <v>0.31880222319234414</v>
      </c>
      <c r="Y606" s="3">
        <f t="shared" si="28"/>
        <v>0.14431033345901678</v>
      </c>
      <c r="Z606" s="3">
        <f t="shared" si="29"/>
        <v>-0.17449188973332735</v>
      </c>
    </row>
    <row r="607" spans="20:26" x14ac:dyDescent="0.25">
      <c r="T607" s="3" t="s">
        <v>377</v>
      </c>
      <c r="U607" s="3" t="s">
        <v>379</v>
      </c>
      <c r="V607" s="3">
        <v>88616214.840000004</v>
      </c>
      <c r="W607" s="3">
        <v>13921517.57</v>
      </c>
      <c r="X607" s="3">
        <f t="shared" si="27"/>
        <v>0.22041706690166091</v>
      </c>
      <c r="Y607" s="3">
        <f t="shared" si="28"/>
        <v>3.7544085273732944E-2</v>
      </c>
      <c r="Z607" s="3">
        <f t="shared" si="29"/>
        <v>-0.18287298162792798</v>
      </c>
    </row>
    <row r="608" spans="20:26" x14ac:dyDescent="0.25">
      <c r="T608" s="3" t="s">
        <v>21</v>
      </c>
      <c r="U608" s="3" t="s">
        <v>23</v>
      </c>
      <c r="V608" s="3">
        <v>1215701656</v>
      </c>
      <c r="W608" s="3">
        <v>1044929993</v>
      </c>
      <c r="X608" s="3">
        <f t="shared" si="27"/>
        <v>3.023841559096454</v>
      </c>
      <c r="Y608" s="3">
        <f t="shared" si="28"/>
        <v>2.8180074884086914</v>
      </c>
      <c r="Z608" s="3">
        <f t="shared" si="29"/>
        <v>-0.2058340706877626</v>
      </c>
    </row>
    <row r="609" spans="20:26" x14ac:dyDescent="0.25">
      <c r="T609" s="3" t="s">
        <v>158</v>
      </c>
      <c r="U609" s="3" t="s">
        <v>165</v>
      </c>
      <c r="V609" s="3">
        <v>233169546.30000001</v>
      </c>
      <c r="W609" s="3">
        <v>120158191.3</v>
      </c>
      <c r="X609" s="3">
        <f t="shared" si="27"/>
        <v>0.57996775848564353</v>
      </c>
      <c r="Y609" s="3">
        <f t="shared" si="28"/>
        <v>0.32404724253813627</v>
      </c>
      <c r="Z609" s="3">
        <f t="shared" si="29"/>
        <v>-0.25592051594750725</v>
      </c>
    </row>
    <row r="610" spans="20:26" x14ac:dyDescent="0.25">
      <c r="T610" s="3" t="s">
        <v>35</v>
      </c>
      <c r="U610" s="3" t="s">
        <v>42</v>
      </c>
      <c r="V610" s="3">
        <v>645375454.10000002</v>
      </c>
      <c r="W610" s="3">
        <v>478628176.10000002</v>
      </c>
      <c r="X610" s="3">
        <f t="shared" si="27"/>
        <v>1.6052566102026649</v>
      </c>
      <c r="Y610" s="3">
        <f t="shared" si="28"/>
        <v>1.290782916988386</v>
      </c>
      <c r="Z610" s="3">
        <f t="shared" si="29"/>
        <v>-0.31447369321427887</v>
      </c>
    </row>
    <row r="611" spans="20:26" x14ac:dyDescent="0.25">
      <c r="T611" s="3" t="s">
        <v>450</v>
      </c>
      <c r="U611" s="3" t="s">
        <v>456</v>
      </c>
      <c r="V611" s="3">
        <v>135249837.09999999</v>
      </c>
      <c r="W611" s="3">
        <v>7130973.1600000001</v>
      </c>
      <c r="X611" s="3">
        <f t="shared" si="27"/>
        <v>0.3364099047373556</v>
      </c>
      <c r="Y611" s="3">
        <f t="shared" si="28"/>
        <v>1.9231083325331813E-2</v>
      </c>
      <c r="Z611" s="3">
        <f t="shared" si="29"/>
        <v>-0.3171788214120238</v>
      </c>
    </row>
    <row r="612" spans="20:26" x14ac:dyDescent="0.25">
      <c r="T612" s="3" t="s">
        <v>178</v>
      </c>
      <c r="U612" s="3" t="s">
        <v>184</v>
      </c>
      <c r="V612" s="3">
        <v>249195363.69999999</v>
      </c>
      <c r="W612" s="3">
        <v>99529826.370000005</v>
      </c>
      <c r="X612" s="3">
        <f t="shared" si="27"/>
        <v>0.61982912778907651</v>
      </c>
      <c r="Y612" s="3">
        <f t="shared" si="28"/>
        <v>0.26841587274706241</v>
      </c>
      <c r="Z612" s="3">
        <f t="shared" si="29"/>
        <v>-0.35141325504201409</v>
      </c>
    </row>
    <row r="613" spans="20:26" x14ac:dyDescent="0.25">
      <c r="T613" s="3" t="s">
        <v>216</v>
      </c>
      <c r="U613" s="3" t="s">
        <v>218</v>
      </c>
      <c r="V613" s="3">
        <v>252105037.90000001</v>
      </c>
      <c r="W613" s="3">
        <v>58454183.100000001</v>
      </c>
      <c r="X613" s="3">
        <f t="shared" si="27"/>
        <v>0.62706642464226992</v>
      </c>
      <c r="Y613" s="3">
        <f t="shared" si="28"/>
        <v>0.15764149446192877</v>
      </c>
      <c r="Z613" s="3">
        <f t="shared" si="29"/>
        <v>-0.46942493018034115</v>
      </c>
    </row>
    <row r="614" spans="20:26" x14ac:dyDescent="0.25">
      <c r="T614" s="3">
        <v>90670</v>
      </c>
      <c r="U614" s="3" t="s">
        <v>164</v>
      </c>
      <c r="V614" s="3">
        <v>432793749.80000001</v>
      </c>
      <c r="W614" s="3">
        <v>129033793.8</v>
      </c>
      <c r="X614" s="3">
        <f t="shared" si="27"/>
        <v>1.0764974454903866</v>
      </c>
      <c r="Y614" s="3">
        <f t="shared" si="28"/>
        <v>0.3479833095251032</v>
      </c>
      <c r="Z614" s="3">
        <f t="shared" si="29"/>
        <v>-0.72851413596528336</v>
      </c>
    </row>
    <row r="615" spans="20:26" x14ac:dyDescent="0.25">
      <c r="T615" s="3" t="s">
        <v>108</v>
      </c>
      <c r="U615" s="3" t="s">
        <v>113</v>
      </c>
      <c r="V615" s="3">
        <v>821766302</v>
      </c>
      <c r="W615" s="3">
        <v>223709770.90000001</v>
      </c>
      <c r="X615" s="3">
        <f t="shared" si="27"/>
        <v>2.0439974590711651</v>
      </c>
      <c r="Y615" s="3">
        <f t="shared" si="28"/>
        <v>0.60330913443920331</v>
      </c>
      <c r="Z615" s="3">
        <f t="shared" si="29"/>
        <v>-1.4406883246319619</v>
      </c>
    </row>
    <row r="616" spans="20:26" x14ac:dyDescent="0.25">
      <c r="T616" s="3" t="s">
        <v>32</v>
      </c>
      <c r="U616" s="3" t="s">
        <v>39</v>
      </c>
      <c r="V616" s="3">
        <v>1149653207</v>
      </c>
      <c r="W616" s="3">
        <v>512621924.30000001</v>
      </c>
      <c r="X616" s="3">
        <f t="shared" si="27"/>
        <v>2.8595577942316455</v>
      </c>
      <c r="Y616" s="3">
        <f t="shared" si="28"/>
        <v>1.3824585676333183</v>
      </c>
      <c r="Z616" s="3">
        <f t="shared" si="29"/>
        <v>-1.4770992265983272</v>
      </c>
    </row>
    <row r="617" spans="20:26" x14ac:dyDescent="0.25">
      <c r="T617" s="3" t="s">
        <v>59</v>
      </c>
      <c r="U617" s="3" t="s">
        <v>68</v>
      </c>
      <c r="V617" s="3">
        <v>1011988293</v>
      </c>
      <c r="W617" s="3">
        <v>369311857.89999998</v>
      </c>
      <c r="X617" s="3">
        <f t="shared" si="27"/>
        <v>2.5171408154209831</v>
      </c>
      <c r="Y617" s="3">
        <f t="shared" si="28"/>
        <v>0.99597445579335231</v>
      </c>
      <c r="Z617" s="3">
        <f t="shared" si="29"/>
        <v>-1.5211663596276308</v>
      </c>
    </row>
    <row r="618" spans="20:26" x14ac:dyDescent="0.25">
      <c r="T618" s="3" t="s">
        <v>31</v>
      </c>
      <c r="U618" s="3" t="s">
        <v>38</v>
      </c>
      <c r="V618" s="3">
        <v>1370995237</v>
      </c>
      <c r="W618" s="3">
        <v>519022697</v>
      </c>
      <c r="X618" s="3">
        <f t="shared" si="27"/>
        <v>3.4101067103949827</v>
      </c>
      <c r="Y618" s="3">
        <f t="shared" si="28"/>
        <v>1.3997204182080312</v>
      </c>
      <c r="Z618" s="3">
        <f t="shared" si="29"/>
        <v>-2.0103862921869515</v>
      </c>
    </row>
  </sheetData>
  <autoFilter ref="T1:Z618" xr:uid="{581DC912-F198-4B01-9AB2-E453066DEFEE}"/>
  <sortState xmlns:xlrd2="http://schemas.microsoft.com/office/spreadsheetml/2017/richdata2" ref="T2:Z618">
    <sortCondition descending="1" ref="Z2:Z618"/>
  </sortState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8641-F684-486D-8924-3D6BD495CF12}">
  <dimension ref="A1:W24"/>
  <sheetViews>
    <sheetView workbookViewId="0">
      <selection activeCell="A30" sqref="A30"/>
    </sheetView>
  </sheetViews>
  <sheetFormatPr defaultRowHeight="15" x14ac:dyDescent="0.25"/>
  <cols>
    <col min="1" max="1" width="21.7109375" customWidth="1"/>
    <col min="2" max="2" width="15.140625" bestFit="1" customWidth="1"/>
    <col min="3" max="3" width="16.85546875" bestFit="1" customWidth="1"/>
    <col min="4" max="4" width="13.5703125" bestFit="1" customWidth="1"/>
    <col min="5" max="5" width="18.85546875" bestFit="1" customWidth="1"/>
    <col min="6" max="6" width="20.5703125" bestFit="1" customWidth="1"/>
    <col min="7" max="7" width="16.5703125" bestFit="1" customWidth="1"/>
    <col min="8" max="8" width="17.7109375" bestFit="1" customWidth="1"/>
    <col min="9" max="9" width="32.140625" bestFit="1" customWidth="1"/>
    <col min="10" max="10" width="28.140625" bestFit="1" customWidth="1"/>
    <col min="11" max="11" width="29.28515625" bestFit="1" customWidth="1"/>
    <col min="12" max="12" width="19.28515625" bestFit="1" customWidth="1"/>
    <col min="13" max="13" width="18.85546875" bestFit="1" customWidth="1"/>
    <col min="14" max="14" width="20.5703125" bestFit="1" customWidth="1"/>
    <col min="15" max="15" width="16.5703125" bestFit="1" customWidth="1"/>
    <col min="16" max="16" width="17.7109375" bestFit="1" customWidth="1"/>
    <col min="17" max="17" width="32.140625" bestFit="1" customWidth="1"/>
    <col min="18" max="18" width="28.140625" bestFit="1" customWidth="1"/>
    <col min="19" max="19" width="29.28515625" bestFit="1" customWidth="1"/>
    <col min="20" max="20" width="19.28515625" bestFit="1" customWidth="1"/>
    <col min="21" max="21" width="19.7109375" bestFit="1" customWidth="1"/>
    <col min="22" max="22" width="35.28515625" bestFit="1" customWidth="1"/>
    <col min="23" max="23" width="34.7109375" bestFit="1" customWidth="1"/>
    <col min="24" max="24" width="17.7109375" bestFit="1" customWidth="1"/>
    <col min="25" max="25" width="32.140625" bestFit="1" customWidth="1"/>
    <col min="26" max="26" width="28.140625" bestFit="1" customWidth="1"/>
    <col min="27" max="27" width="29.28515625" bestFit="1" customWidth="1"/>
    <col min="28" max="28" width="19.28515625" bestFit="1" customWidth="1"/>
    <col min="29" max="29" width="18.85546875" bestFit="1" customWidth="1"/>
    <col min="30" max="30" width="20.5703125" bestFit="1" customWidth="1"/>
    <col min="31" max="31" width="16.5703125" bestFit="1" customWidth="1"/>
    <col min="32" max="32" width="17.7109375" bestFit="1" customWidth="1"/>
    <col min="33" max="33" width="32.140625" bestFit="1" customWidth="1"/>
    <col min="34" max="34" width="28.140625" bestFit="1" customWidth="1"/>
    <col min="35" max="35" width="29.28515625" bestFit="1" customWidth="1"/>
    <col min="36" max="36" width="19.28515625" bestFit="1" customWidth="1"/>
    <col min="37" max="37" width="18.85546875" bestFit="1" customWidth="1"/>
    <col min="38" max="38" width="20.5703125" bestFit="1" customWidth="1"/>
    <col min="39" max="39" width="16.5703125" bestFit="1" customWidth="1"/>
    <col min="40" max="40" width="17.7109375" bestFit="1" customWidth="1"/>
    <col min="41" max="41" width="32.140625" bestFit="1" customWidth="1"/>
    <col min="42" max="42" width="28.140625" bestFit="1" customWidth="1"/>
    <col min="43" max="43" width="29.28515625" bestFit="1" customWidth="1"/>
    <col min="44" max="44" width="19.28515625" bestFit="1" customWidth="1"/>
    <col min="45" max="45" width="22" bestFit="1" customWidth="1"/>
    <col min="46" max="46" width="37.5703125" bestFit="1" customWidth="1"/>
    <col min="47" max="47" width="37" bestFit="1" customWidth="1"/>
  </cols>
  <sheetData>
    <row r="1" spans="1:3" x14ac:dyDescent="0.25">
      <c r="A1" s="78" t="s">
        <v>1754</v>
      </c>
      <c r="B1" s="78"/>
      <c r="C1" s="78"/>
    </row>
    <row r="2" spans="1:3" x14ac:dyDescent="0.25">
      <c r="A2" s="38"/>
      <c r="B2" s="39">
        <v>2018</v>
      </c>
      <c r="C2" s="39">
        <v>2021</v>
      </c>
    </row>
    <row r="3" spans="1:3" x14ac:dyDescent="0.25">
      <c r="A3" s="32" t="s">
        <v>1378</v>
      </c>
      <c r="B3" s="36">
        <f>E24</f>
        <v>243007130.90000001</v>
      </c>
      <c r="C3" s="36">
        <f>M24</f>
        <v>526528196.5</v>
      </c>
    </row>
    <row r="4" spans="1:3" x14ac:dyDescent="0.25">
      <c r="A4" s="33" t="s">
        <v>1383</v>
      </c>
      <c r="B4" s="37">
        <f>H24</f>
        <v>8882</v>
      </c>
      <c r="C4" s="37">
        <f>P24</f>
        <v>15742</v>
      </c>
    </row>
    <row r="5" spans="1:3" x14ac:dyDescent="0.25">
      <c r="A5" s="32" t="s">
        <v>1384</v>
      </c>
      <c r="B5" s="36">
        <f>B3/B4</f>
        <v>27359.505843278541</v>
      </c>
      <c r="C5" s="36">
        <f>C3/C4</f>
        <v>33447.350813111421</v>
      </c>
    </row>
    <row r="6" spans="1:3" ht="15.75" thickBot="1" x14ac:dyDescent="0.3"/>
    <row r="7" spans="1:3" ht="15.75" thickBot="1" x14ac:dyDescent="0.3">
      <c r="A7" s="64" t="s">
        <v>1385</v>
      </c>
      <c r="B7" s="65" t="s">
        <v>1386</v>
      </c>
      <c r="C7" s="66" t="s">
        <v>1387</v>
      </c>
    </row>
    <row r="8" spans="1:3" ht="15.75" thickBot="1" x14ac:dyDescent="0.3">
      <c r="A8" s="74">
        <f>C3-B3</f>
        <v>283521065.60000002</v>
      </c>
      <c r="B8" s="75">
        <f>(C4-B4)*B5</f>
        <v>187686210.08489078</v>
      </c>
      <c r="C8" s="76">
        <f>(C5-B5)*C4</f>
        <v>95834855.515109211</v>
      </c>
    </row>
    <row r="9" spans="1:3" x14ac:dyDescent="0.25">
      <c r="A9" s="72" t="s">
        <v>1751</v>
      </c>
      <c r="B9" s="73">
        <f>B8/A8</f>
        <v>0.66198329809356771</v>
      </c>
      <c r="C9" s="73">
        <f>C8/A8</f>
        <v>0.33801670190643218</v>
      </c>
    </row>
    <row r="23" spans="1:23" ht="15.75" thickBot="1" x14ac:dyDescent="0.3">
      <c r="A23" s="31" t="s">
        <v>0</v>
      </c>
      <c r="B23" s="31" t="s">
        <v>1294</v>
      </c>
      <c r="C23" s="31" t="s">
        <v>5</v>
      </c>
      <c r="D23" s="31" t="s">
        <v>10</v>
      </c>
      <c r="E23" s="31" t="s">
        <v>15</v>
      </c>
      <c r="F23" s="31" t="s">
        <v>1295</v>
      </c>
      <c r="G23" s="31" t="s">
        <v>1296</v>
      </c>
      <c r="H23" s="31" t="s">
        <v>16</v>
      </c>
      <c r="I23" s="31" t="s">
        <v>1297</v>
      </c>
      <c r="J23" s="31" t="s">
        <v>1298</v>
      </c>
      <c r="K23" s="31" t="s">
        <v>17</v>
      </c>
      <c r="L23" s="31" t="s">
        <v>1299</v>
      </c>
      <c r="M23" s="31" t="s">
        <v>18</v>
      </c>
      <c r="N23" s="31" t="s">
        <v>1300</v>
      </c>
      <c r="O23" s="31" t="s">
        <v>1301</v>
      </c>
      <c r="P23" s="31" t="s">
        <v>19</v>
      </c>
      <c r="Q23" s="31" t="s">
        <v>1302</v>
      </c>
      <c r="R23" s="31" t="s">
        <v>1303</v>
      </c>
      <c r="S23" s="31" t="s">
        <v>20</v>
      </c>
      <c r="T23" s="31" t="s">
        <v>1304</v>
      </c>
      <c r="U23" s="31" t="s">
        <v>1305</v>
      </c>
      <c r="V23" s="31" t="s">
        <v>1306</v>
      </c>
      <c r="W23" s="31" t="s">
        <v>1307</v>
      </c>
    </row>
    <row r="24" spans="1:23" x14ac:dyDescent="0.25">
      <c r="A24" s="30" t="s">
        <v>30</v>
      </c>
      <c r="B24" s="30" t="s">
        <v>1308</v>
      </c>
      <c r="C24" s="30" t="s">
        <v>37</v>
      </c>
      <c r="D24" s="30" t="s">
        <v>45</v>
      </c>
      <c r="E24" s="30">
        <v>243007130.90000001</v>
      </c>
      <c r="F24" s="30">
        <v>14114303</v>
      </c>
      <c r="G24" s="30">
        <v>46859</v>
      </c>
      <c r="H24" s="30">
        <v>8882</v>
      </c>
      <c r="I24" s="30">
        <v>17.217083330000001</v>
      </c>
      <c r="J24" s="30">
        <v>5185.9222550000004</v>
      </c>
      <c r="K24" s="30">
        <v>27359.505850000001</v>
      </c>
      <c r="L24" s="30">
        <v>0</v>
      </c>
      <c r="M24" s="30">
        <v>526528196.5</v>
      </c>
      <c r="N24" s="30">
        <v>27759023.100000001</v>
      </c>
      <c r="O24" s="30">
        <v>92268</v>
      </c>
      <c r="P24" s="30">
        <v>15742</v>
      </c>
      <c r="Q24" s="30">
        <v>18.96782155</v>
      </c>
      <c r="R24" s="30">
        <v>5706.5092610000002</v>
      </c>
      <c r="S24" s="30">
        <v>33447.350810000004</v>
      </c>
      <c r="T24" s="30">
        <v>0</v>
      </c>
      <c r="U24" s="30">
        <v>20.827000000000002</v>
      </c>
      <c r="V24" s="30">
        <v>2.8896152000000001E-2</v>
      </c>
      <c r="W24" s="30">
        <v>1.6592144E-2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051D-B7FD-411B-A402-321E86678DFD}">
  <dimension ref="A1:K32"/>
  <sheetViews>
    <sheetView workbookViewId="0">
      <selection activeCell="N25" sqref="N25"/>
    </sheetView>
  </sheetViews>
  <sheetFormatPr defaultRowHeight="15" x14ac:dyDescent="0.25"/>
  <cols>
    <col min="1" max="1" width="10" bestFit="1" customWidth="1"/>
    <col min="2" max="2" width="16.85546875" bestFit="1" customWidth="1"/>
    <col min="3" max="3" width="16.5703125" bestFit="1" customWidth="1"/>
    <col min="4" max="4" width="15.42578125" bestFit="1" customWidth="1"/>
    <col min="5" max="5" width="27" bestFit="1" customWidth="1"/>
    <col min="6" max="6" width="19.28515625" bestFit="1" customWidth="1"/>
    <col min="7" max="7" width="20.140625" bestFit="1" customWidth="1"/>
    <col min="8" max="8" width="17" hidden="1" customWidth="1"/>
    <col min="9" max="9" width="22.85546875" bestFit="1" customWidth="1"/>
    <col min="10" max="10" width="26.42578125" bestFit="1" customWidth="1"/>
    <col min="11" max="11" width="14.85546875" bestFit="1" customWidth="1"/>
  </cols>
  <sheetData>
    <row r="1" spans="1:11" ht="15.75" thickBot="1" x14ac:dyDescent="0.3">
      <c r="A1" s="79" t="s">
        <v>1755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ht="15.75" thickBot="1" x14ac:dyDescent="0.3">
      <c r="A2" s="40" t="s">
        <v>0</v>
      </c>
      <c r="B2" s="41" t="s">
        <v>5</v>
      </c>
      <c r="C2" s="41" t="s">
        <v>18</v>
      </c>
      <c r="D2" s="41" t="s">
        <v>19</v>
      </c>
      <c r="E2" s="41" t="s">
        <v>20</v>
      </c>
      <c r="F2" s="41" t="s">
        <v>1633</v>
      </c>
      <c r="G2" s="41" t="s">
        <v>1312</v>
      </c>
      <c r="H2" s="42" t="s">
        <v>1313</v>
      </c>
      <c r="I2" s="43" t="s">
        <v>1375</v>
      </c>
      <c r="J2" s="44" t="s">
        <v>1376</v>
      </c>
      <c r="K2" s="45" t="s">
        <v>1377</v>
      </c>
    </row>
    <row r="3" spans="1:11" ht="15.75" thickTop="1" x14ac:dyDescent="0.25">
      <c r="A3" s="8" t="s">
        <v>108</v>
      </c>
      <c r="B3" s="9" t="s">
        <v>113</v>
      </c>
      <c r="C3" s="9">
        <v>223709770.90000001</v>
      </c>
      <c r="D3" s="9">
        <v>6944</v>
      </c>
      <c r="E3" s="9">
        <v>32216.26885</v>
      </c>
      <c r="F3" s="9" t="s">
        <v>1316</v>
      </c>
      <c r="G3" s="9" t="s">
        <v>1317</v>
      </c>
      <c r="H3" s="10" t="s">
        <v>1318</v>
      </c>
      <c r="I3" s="21">
        <f t="shared" ref="I3:I9" si="0">E$3</f>
        <v>32216.26885</v>
      </c>
      <c r="J3" s="17">
        <f>I3*D3</f>
        <v>223709770.8944</v>
      </c>
      <c r="K3" s="22">
        <f>IF(F3="N", J3 - C3, 0)</f>
        <v>0</v>
      </c>
    </row>
    <row r="4" spans="1:11" x14ac:dyDescent="0.25">
      <c r="A4" s="11" t="s">
        <v>1325</v>
      </c>
      <c r="B4" s="12" t="s">
        <v>1516</v>
      </c>
      <c r="C4" s="12">
        <v>159309828.69999999</v>
      </c>
      <c r="D4" s="12">
        <v>7550</v>
      </c>
      <c r="E4" s="12">
        <v>21100.63956</v>
      </c>
      <c r="F4" s="12" t="s">
        <v>1318</v>
      </c>
      <c r="G4" s="12" t="s">
        <v>1317</v>
      </c>
      <c r="H4" s="13" t="s">
        <v>1316</v>
      </c>
      <c r="I4" s="23">
        <f t="shared" si="0"/>
        <v>32216.26885</v>
      </c>
      <c r="J4" s="19">
        <f t="shared" ref="J4:J30" si="1">I4*D4</f>
        <v>243232829.8175</v>
      </c>
      <c r="K4" s="24">
        <f t="shared" ref="K4:K30" si="2">IF(F4="N", J4 - C4, 0)</f>
        <v>83923001.117500007</v>
      </c>
    </row>
    <row r="5" spans="1:11" x14ac:dyDescent="0.25">
      <c r="A5" s="14" t="s">
        <v>1327</v>
      </c>
      <c r="B5" s="15" t="s">
        <v>1533</v>
      </c>
      <c r="C5" s="15">
        <v>59996201.530000001</v>
      </c>
      <c r="D5" s="15">
        <v>2993</v>
      </c>
      <c r="E5" s="15">
        <v>20045.506689999998</v>
      </c>
      <c r="F5" s="15" t="s">
        <v>1318</v>
      </c>
      <c r="G5" s="15" t="s">
        <v>1317</v>
      </c>
      <c r="H5" s="16" t="s">
        <v>1316</v>
      </c>
      <c r="I5" s="25">
        <f t="shared" si="0"/>
        <v>32216.26885</v>
      </c>
      <c r="J5" s="18">
        <f t="shared" si="1"/>
        <v>96423292.668050006</v>
      </c>
      <c r="K5" s="26">
        <f t="shared" si="2"/>
        <v>36427091.138050005</v>
      </c>
    </row>
    <row r="6" spans="1:11" x14ac:dyDescent="0.25">
      <c r="A6" s="11" t="s">
        <v>1321</v>
      </c>
      <c r="B6" s="12" t="s">
        <v>1538</v>
      </c>
      <c r="C6" s="12">
        <v>46807920.039999999</v>
      </c>
      <c r="D6" s="12">
        <v>2257</v>
      </c>
      <c r="E6" s="12">
        <v>20738.99869</v>
      </c>
      <c r="F6" s="12" t="s">
        <v>1318</v>
      </c>
      <c r="G6" s="12" t="s">
        <v>1317</v>
      </c>
      <c r="H6" s="13" t="s">
        <v>1316</v>
      </c>
      <c r="I6" s="23">
        <f t="shared" si="0"/>
        <v>32216.26885</v>
      </c>
      <c r="J6" s="19">
        <f t="shared" si="1"/>
        <v>72712118.79445</v>
      </c>
      <c r="K6" s="24">
        <f t="shared" si="2"/>
        <v>25904198.754450001</v>
      </c>
    </row>
    <row r="7" spans="1:11" x14ac:dyDescent="0.25">
      <c r="A7" s="14" t="s">
        <v>1314</v>
      </c>
      <c r="B7" s="15" t="s">
        <v>1553</v>
      </c>
      <c r="C7" s="15">
        <v>19235277.84</v>
      </c>
      <c r="D7" s="15">
        <v>597</v>
      </c>
      <c r="E7" s="15">
        <v>32219.89588</v>
      </c>
      <c r="F7" s="15" t="s">
        <v>1316</v>
      </c>
      <c r="G7" s="15" t="s">
        <v>1317</v>
      </c>
      <c r="H7" s="16" t="s">
        <v>1318</v>
      </c>
      <c r="I7" s="25">
        <f t="shared" si="0"/>
        <v>32216.26885</v>
      </c>
      <c r="J7" s="18">
        <f t="shared" si="1"/>
        <v>19233112.503449999</v>
      </c>
      <c r="K7" s="26">
        <f t="shared" si="2"/>
        <v>0</v>
      </c>
    </row>
    <row r="8" spans="1:11" x14ac:dyDescent="0.25">
      <c r="A8" s="11" t="s">
        <v>1323</v>
      </c>
      <c r="B8" s="12" t="s">
        <v>1565</v>
      </c>
      <c r="C8" s="12">
        <v>11340522.380000001</v>
      </c>
      <c r="D8" s="12">
        <v>531</v>
      </c>
      <c r="E8" s="12">
        <v>21356.915969999998</v>
      </c>
      <c r="F8" s="12" t="s">
        <v>1318</v>
      </c>
      <c r="G8" s="12" t="s">
        <v>1317</v>
      </c>
      <c r="H8" s="13" t="s">
        <v>1316</v>
      </c>
      <c r="I8" s="23">
        <f t="shared" si="0"/>
        <v>32216.26885</v>
      </c>
      <c r="J8" s="19">
        <f t="shared" si="1"/>
        <v>17106838.759350002</v>
      </c>
      <c r="K8" s="24">
        <f t="shared" si="2"/>
        <v>5766316.379350001</v>
      </c>
    </row>
    <row r="9" spans="1:11" x14ac:dyDescent="0.25">
      <c r="A9" s="14" t="s">
        <v>1319</v>
      </c>
      <c r="B9" s="15" t="s">
        <v>1574</v>
      </c>
      <c r="C9" s="15">
        <v>7706641.6799999997</v>
      </c>
      <c r="D9" s="15">
        <v>329</v>
      </c>
      <c r="E9" s="15">
        <v>23424.442800000001</v>
      </c>
      <c r="F9" s="15" t="s">
        <v>1318</v>
      </c>
      <c r="G9" s="15" t="s">
        <v>1317</v>
      </c>
      <c r="H9" s="16" t="s">
        <v>1316</v>
      </c>
      <c r="I9" s="25">
        <f t="shared" si="0"/>
        <v>32216.26885</v>
      </c>
      <c r="J9" s="18">
        <f t="shared" si="1"/>
        <v>10599152.451649999</v>
      </c>
      <c r="K9" s="26">
        <f t="shared" si="2"/>
        <v>2892510.7716499995</v>
      </c>
    </row>
    <row r="10" spans="1:11" x14ac:dyDescent="0.25">
      <c r="A10" s="11" t="s">
        <v>31</v>
      </c>
      <c r="B10" s="12" t="s">
        <v>38</v>
      </c>
      <c r="C10" s="12">
        <v>519022697</v>
      </c>
      <c r="D10" s="12">
        <v>57642</v>
      </c>
      <c r="E10" s="12">
        <v>9004.2451160000001</v>
      </c>
      <c r="F10" s="12" t="s">
        <v>1316</v>
      </c>
      <c r="G10" s="12" t="s">
        <v>1329</v>
      </c>
      <c r="H10" s="13" t="s">
        <v>1318</v>
      </c>
      <c r="I10" s="23">
        <f>E$10</f>
        <v>9004.2451160000001</v>
      </c>
      <c r="J10" s="19">
        <f t="shared" si="1"/>
        <v>519022696.97647202</v>
      </c>
      <c r="K10" s="24">
        <f t="shared" si="2"/>
        <v>0</v>
      </c>
    </row>
    <row r="11" spans="1:11" x14ac:dyDescent="0.25">
      <c r="A11" s="14" t="s">
        <v>1335</v>
      </c>
      <c r="B11" s="15" t="s">
        <v>1515</v>
      </c>
      <c r="C11" s="15">
        <v>160042879.69999999</v>
      </c>
      <c r="D11" s="15">
        <v>15627</v>
      </c>
      <c r="E11" s="15">
        <v>10241.4334</v>
      </c>
      <c r="F11" s="15" t="s">
        <v>1318</v>
      </c>
      <c r="G11" s="15" t="s">
        <v>1329</v>
      </c>
      <c r="H11" s="16" t="s">
        <v>1316</v>
      </c>
      <c r="I11" s="25">
        <f>E$10</f>
        <v>9004.2451160000001</v>
      </c>
      <c r="J11" s="18">
        <f t="shared" si="1"/>
        <v>140709338.42773199</v>
      </c>
      <c r="K11" s="26">
        <f t="shared" si="2"/>
        <v>-19333541.272267997</v>
      </c>
    </row>
    <row r="12" spans="1:11" x14ac:dyDescent="0.25">
      <c r="A12" s="11" t="s">
        <v>1343</v>
      </c>
      <c r="B12" s="12" t="s">
        <v>1524</v>
      </c>
      <c r="C12" s="12">
        <v>85195357.75</v>
      </c>
      <c r="D12" s="12">
        <v>7991</v>
      </c>
      <c r="E12" s="12">
        <v>10661.41381</v>
      </c>
      <c r="F12" s="12" t="s">
        <v>1318</v>
      </c>
      <c r="G12" s="12" t="s">
        <v>1329</v>
      </c>
      <c r="H12" s="13" t="s">
        <v>1316</v>
      </c>
      <c r="I12" s="23">
        <f>E$10</f>
        <v>9004.2451160000001</v>
      </c>
      <c r="J12" s="19">
        <f t="shared" si="1"/>
        <v>71952922.721956</v>
      </c>
      <c r="K12" s="24">
        <f t="shared" si="2"/>
        <v>-13242435.028044</v>
      </c>
    </row>
    <row r="13" spans="1:11" x14ac:dyDescent="0.25">
      <c r="A13" s="14" t="s">
        <v>1331</v>
      </c>
      <c r="B13" s="15" t="s">
        <v>1528</v>
      </c>
      <c r="C13" s="15">
        <v>75403320.909999996</v>
      </c>
      <c r="D13" s="15">
        <v>8069</v>
      </c>
      <c r="E13" s="15">
        <v>9344.8160750000006</v>
      </c>
      <c r="F13" s="15" t="s">
        <v>1318</v>
      </c>
      <c r="G13" s="15" t="s">
        <v>1329</v>
      </c>
      <c r="H13" s="16" t="s">
        <v>1316</v>
      </c>
      <c r="I13" s="25">
        <f>E$10</f>
        <v>9004.2451160000001</v>
      </c>
      <c r="J13" s="18">
        <f t="shared" si="1"/>
        <v>72655253.841003999</v>
      </c>
      <c r="K13" s="26">
        <f t="shared" si="2"/>
        <v>-2748067.0689959973</v>
      </c>
    </row>
    <row r="14" spans="1:11" x14ac:dyDescent="0.25">
      <c r="A14" s="11" t="s">
        <v>1333</v>
      </c>
      <c r="B14" s="12" t="s">
        <v>1546</v>
      </c>
      <c r="C14" s="12">
        <v>26671090.620000001</v>
      </c>
      <c r="D14" s="12">
        <v>2086</v>
      </c>
      <c r="E14" s="12">
        <v>12785.757729999999</v>
      </c>
      <c r="F14" s="12" t="s">
        <v>1318</v>
      </c>
      <c r="G14" s="12" t="s">
        <v>1329</v>
      </c>
      <c r="H14" s="13" t="s">
        <v>1316</v>
      </c>
      <c r="I14" s="23">
        <f>E$10</f>
        <v>9004.2451160000001</v>
      </c>
      <c r="J14" s="19">
        <f t="shared" si="1"/>
        <v>18782855.311976001</v>
      </c>
      <c r="K14" s="24">
        <f t="shared" si="2"/>
        <v>-7888235.3080240004</v>
      </c>
    </row>
    <row r="15" spans="1:11" x14ac:dyDescent="0.25">
      <c r="A15" s="14" t="s">
        <v>327</v>
      </c>
      <c r="B15" s="15" t="s">
        <v>333</v>
      </c>
      <c r="C15" s="15">
        <v>18684232.199999999</v>
      </c>
      <c r="D15" s="15">
        <v>18746</v>
      </c>
      <c r="E15" s="15">
        <v>996.70501439999998</v>
      </c>
      <c r="F15" s="15" t="s">
        <v>1318</v>
      </c>
      <c r="G15" s="15" t="s">
        <v>1344</v>
      </c>
      <c r="H15" s="16" t="s">
        <v>1316</v>
      </c>
      <c r="I15" s="25">
        <f>E$16</f>
        <v>2413.922701</v>
      </c>
      <c r="J15" s="18">
        <f t="shared" si="1"/>
        <v>45251394.952946</v>
      </c>
      <c r="K15" s="26">
        <f t="shared" si="2"/>
        <v>26567162.752946001</v>
      </c>
    </row>
    <row r="16" spans="1:11" x14ac:dyDescent="0.25">
      <c r="A16" s="11" t="s">
        <v>350</v>
      </c>
      <c r="B16" s="12" t="s">
        <v>360</v>
      </c>
      <c r="C16" s="12">
        <v>16004307.51</v>
      </c>
      <c r="D16" s="12">
        <v>6630</v>
      </c>
      <c r="E16" s="12">
        <v>2413.922701</v>
      </c>
      <c r="F16" s="12" t="s">
        <v>1316</v>
      </c>
      <c r="G16" s="12" t="s">
        <v>1344</v>
      </c>
      <c r="H16" s="13" t="s">
        <v>1318</v>
      </c>
      <c r="I16" s="23">
        <f>E$16</f>
        <v>2413.922701</v>
      </c>
      <c r="J16" s="19">
        <f t="shared" si="1"/>
        <v>16004307.50763</v>
      </c>
      <c r="K16" s="24">
        <f t="shared" si="2"/>
        <v>0</v>
      </c>
    </row>
    <row r="17" spans="1:11" x14ac:dyDescent="0.25">
      <c r="A17" s="14" t="s">
        <v>1345</v>
      </c>
      <c r="B17" s="15" t="s">
        <v>1582</v>
      </c>
      <c r="C17" s="15">
        <v>4915196.03</v>
      </c>
      <c r="D17" s="15">
        <v>3741</v>
      </c>
      <c r="E17" s="15">
        <v>1313.872235</v>
      </c>
      <c r="F17" s="15" t="s">
        <v>1318</v>
      </c>
      <c r="G17" s="15" t="s">
        <v>1344</v>
      </c>
      <c r="H17" s="16" t="s">
        <v>1316</v>
      </c>
      <c r="I17" s="25">
        <f>E$16</f>
        <v>2413.922701</v>
      </c>
      <c r="J17" s="18">
        <f t="shared" si="1"/>
        <v>9030484.824440999</v>
      </c>
      <c r="K17" s="26">
        <f t="shared" si="2"/>
        <v>4115288.7944409987</v>
      </c>
    </row>
    <row r="18" spans="1:11" x14ac:dyDescent="0.25">
      <c r="A18" s="11" t="s">
        <v>1354</v>
      </c>
      <c r="B18" s="12" t="s">
        <v>1523</v>
      </c>
      <c r="C18" s="12">
        <v>87251749.980000004</v>
      </c>
      <c r="D18" s="12">
        <v>37266</v>
      </c>
      <c r="E18" s="12">
        <v>2341.3231900000001</v>
      </c>
      <c r="F18" s="12" t="s">
        <v>1318</v>
      </c>
      <c r="G18" s="12" t="s">
        <v>1351</v>
      </c>
      <c r="H18" s="13" t="s">
        <v>1316</v>
      </c>
      <c r="I18" s="23">
        <f>E$19</f>
        <v>2255.6989699999999</v>
      </c>
      <c r="J18" s="19">
        <f t="shared" si="1"/>
        <v>84060877.816019997</v>
      </c>
      <c r="K18" s="24">
        <f t="shared" si="2"/>
        <v>-3190872.1639800072</v>
      </c>
    </row>
    <row r="19" spans="1:11" x14ac:dyDescent="0.25">
      <c r="A19" s="14" t="s">
        <v>216</v>
      </c>
      <c r="B19" s="15" t="s">
        <v>218</v>
      </c>
      <c r="C19" s="15">
        <v>58454183.100000001</v>
      </c>
      <c r="D19" s="15">
        <v>25914</v>
      </c>
      <c r="E19" s="15">
        <v>2255.6989699999999</v>
      </c>
      <c r="F19" s="15" t="s">
        <v>1316</v>
      </c>
      <c r="G19" s="15" t="s">
        <v>1351</v>
      </c>
      <c r="H19" s="16" t="s">
        <v>1318</v>
      </c>
      <c r="I19" s="25">
        <f>E$19</f>
        <v>2255.6989699999999</v>
      </c>
      <c r="J19" s="18">
        <f t="shared" si="1"/>
        <v>58454183.108580001</v>
      </c>
      <c r="K19" s="26">
        <f t="shared" si="2"/>
        <v>0</v>
      </c>
    </row>
    <row r="20" spans="1:11" x14ac:dyDescent="0.25">
      <c r="A20" s="11" t="s">
        <v>1352</v>
      </c>
      <c r="B20" s="12" t="s">
        <v>1602</v>
      </c>
      <c r="C20" s="12">
        <v>1127418.1599999999</v>
      </c>
      <c r="D20" s="12">
        <v>4543</v>
      </c>
      <c r="E20" s="12">
        <v>248.1660048</v>
      </c>
      <c r="F20" s="12" t="s">
        <v>1318</v>
      </c>
      <c r="G20" s="12" t="s">
        <v>1351</v>
      </c>
      <c r="H20" s="13" t="s">
        <v>1316</v>
      </c>
      <c r="I20" s="23">
        <f>E$19</f>
        <v>2255.6989699999999</v>
      </c>
      <c r="J20" s="19">
        <f t="shared" si="1"/>
        <v>10247640.420709999</v>
      </c>
      <c r="K20" s="24">
        <f t="shared" si="2"/>
        <v>9120222.2607099991</v>
      </c>
    </row>
    <row r="21" spans="1:11" x14ac:dyDescent="0.25">
      <c r="A21" s="14" t="s">
        <v>1129</v>
      </c>
      <c r="B21" s="15" t="s">
        <v>1156</v>
      </c>
      <c r="C21" s="15">
        <v>14004.02</v>
      </c>
      <c r="D21" s="15">
        <v>21</v>
      </c>
      <c r="E21" s="15">
        <v>666.85809519999998</v>
      </c>
      <c r="F21" s="15" t="s">
        <v>1316</v>
      </c>
      <c r="G21" s="15" t="s">
        <v>1351</v>
      </c>
      <c r="H21" s="16" t="s">
        <v>1318</v>
      </c>
      <c r="I21" s="25">
        <f>E$19</f>
        <v>2255.6989699999999</v>
      </c>
      <c r="J21" s="18">
        <f t="shared" si="1"/>
        <v>47369.678370000001</v>
      </c>
      <c r="K21" s="26">
        <f t="shared" si="2"/>
        <v>0</v>
      </c>
    </row>
    <row r="22" spans="1:11" x14ac:dyDescent="0.25">
      <c r="A22" s="11" t="s">
        <v>32</v>
      </c>
      <c r="B22" s="12" t="s">
        <v>39</v>
      </c>
      <c r="C22" s="12">
        <v>512621924.30000001</v>
      </c>
      <c r="D22" s="12">
        <v>41903</v>
      </c>
      <c r="E22" s="12">
        <v>12233.537560000001</v>
      </c>
      <c r="F22" s="12" t="s">
        <v>1316</v>
      </c>
      <c r="G22" s="12" t="s">
        <v>1355</v>
      </c>
      <c r="H22" s="13" t="s">
        <v>1318</v>
      </c>
      <c r="I22" s="23">
        <f>E$22</f>
        <v>12233.537560000001</v>
      </c>
      <c r="J22" s="19">
        <f t="shared" si="1"/>
        <v>512621924.37668002</v>
      </c>
      <c r="K22" s="24">
        <f t="shared" si="2"/>
        <v>0</v>
      </c>
    </row>
    <row r="23" spans="1:11" x14ac:dyDescent="0.25">
      <c r="A23" s="14" t="s">
        <v>1360</v>
      </c>
      <c r="B23" s="15" t="s">
        <v>1529</v>
      </c>
      <c r="C23" s="15">
        <v>71993954.760000005</v>
      </c>
      <c r="D23" s="15">
        <v>7268</v>
      </c>
      <c r="E23" s="15">
        <v>9905.6074239999998</v>
      </c>
      <c r="F23" s="15" t="s">
        <v>1318</v>
      </c>
      <c r="G23" s="15" t="s">
        <v>1355</v>
      </c>
      <c r="H23" s="16" t="s">
        <v>1316</v>
      </c>
      <c r="I23" s="25">
        <f>E$22</f>
        <v>12233.537560000001</v>
      </c>
      <c r="J23" s="18">
        <f t="shared" si="1"/>
        <v>88913350.986080006</v>
      </c>
      <c r="K23" s="26">
        <f t="shared" si="2"/>
        <v>16919396.22608</v>
      </c>
    </row>
    <row r="24" spans="1:11" x14ac:dyDescent="0.25">
      <c r="A24" s="11" t="s">
        <v>1356</v>
      </c>
      <c r="B24" s="12" t="s">
        <v>1537</v>
      </c>
      <c r="C24" s="12">
        <v>51022399.509999998</v>
      </c>
      <c r="D24" s="12">
        <v>5358</v>
      </c>
      <c r="E24" s="12">
        <v>9522.6576170000008</v>
      </c>
      <c r="F24" s="12" t="s">
        <v>1318</v>
      </c>
      <c r="G24" s="12" t="s">
        <v>1355</v>
      </c>
      <c r="H24" s="13" t="s">
        <v>1316</v>
      </c>
      <c r="I24" s="23">
        <f>E$22</f>
        <v>12233.537560000001</v>
      </c>
      <c r="J24" s="19">
        <f t="shared" si="1"/>
        <v>65547294.246480003</v>
      </c>
      <c r="K24" s="24">
        <f t="shared" si="2"/>
        <v>14524894.736480005</v>
      </c>
    </row>
    <row r="25" spans="1:11" x14ac:dyDescent="0.25">
      <c r="A25" s="14" t="s">
        <v>1358</v>
      </c>
      <c r="B25" s="15" t="s">
        <v>1568</v>
      </c>
      <c r="C25" s="15">
        <v>9946500.2200000007</v>
      </c>
      <c r="D25" s="15">
        <v>1175</v>
      </c>
      <c r="E25" s="15">
        <v>8465.1065699999999</v>
      </c>
      <c r="F25" s="15" t="s">
        <v>1318</v>
      </c>
      <c r="G25" s="15" t="s">
        <v>1355</v>
      </c>
      <c r="H25" s="16" t="s">
        <v>1316</v>
      </c>
      <c r="I25" s="25">
        <f>E$22</f>
        <v>12233.537560000001</v>
      </c>
      <c r="J25" s="18">
        <f t="shared" si="1"/>
        <v>14374406.633000001</v>
      </c>
      <c r="K25" s="26">
        <f t="shared" si="2"/>
        <v>4427906.4130000006</v>
      </c>
    </row>
    <row r="26" spans="1:11" x14ac:dyDescent="0.25">
      <c r="A26" s="11" t="s">
        <v>1364</v>
      </c>
      <c r="B26" s="12" t="s">
        <v>1499</v>
      </c>
      <c r="C26" s="12">
        <v>765560205.60000002</v>
      </c>
      <c r="D26" s="12">
        <v>36383</v>
      </c>
      <c r="E26" s="12">
        <v>21041.700949999999</v>
      </c>
      <c r="F26" s="12" t="s">
        <v>1316</v>
      </c>
      <c r="G26" s="12" t="s">
        <v>1365</v>
      </c>
      <c r="H26" s="13" t="s">
        <v>1318</v>
      </c>
      <c r="I26" s="23">
        <f>E$26</f>
        <v>21041.700949999999</v>
      </c>
      <c r="J26" s="19">
        <f t="shared" si="1"/>
        <v>765560205.66384995</v>
      </c>
      <c r="K26" s="24">
        <f t="shared" si="2"/>
        <v>0</v>
      </c>
    </row>
    <row r="27" spans="1:11" x14ac:dyDescent="0.25">
      <c r="A27" s="14" t="s">
        <v>1369</v>
      </c>
      <c r="B27" s="15" t="s">
        <v>1505</v>
      </c>
      <c r="C27" s="15">
        <v>288501210.69999999</v>
      </c>
      <c r="D27" s="15">
        <v>16546</v>
      </c>
      <c r="E27" s="15">
        <v>17436.311539999999</v>
      </c>
      <c r="F27" s="15" t="s">
        <v>1318</v>
      </c>
      <c r="G27" s="15" t="s">
        <v>1365</v>
      </c>
      <c r="H27" s="16" t="s">
        <v>1316</v>
      </c>
      <c r="I27" s="25">
        <f>E$26</f>
        <v>21041.700949999999</v>
      </c>
      <c r="J27" s="18">
        <f t="shared" si="1"/>
        <v>348155983.91869998</v>
      </c>
      <c r="K27" s="26">
        <f t="shared" si="2"/>
        <v>59654773.218699992</v>
      </c>
    </row>
    <row r="28" spans="1:11" x14ac:dyDescent="0.25">
      <c r="A28" s="11" t="s">
        <v>1371</v>
      </c>
      <c r="B28" s="12" t="s">
        <v>1508</v>
      </c>
      <c r="C28" s="12">
        <v>233566050.90000001</v>
      </c>
      <c r="D28" s="12">
        <v>13932</v>
      </c>
      <c r="E28" s="12">
        <v>16764.717980000001</v>
      </c>
      <c r="F28" s="12" t="s">
        <v>1318</v>
      </c>
      <c r="G28" s="12" t="s">
        <v>1365</v>
      </c>
      <c r="H28" s="13" t="s">
        <v>1316</v>
      </c>
      <c r="I28" s="23">
        <f>E$26</f>
        <v>21041.700949999999</v>
      </c>
      <c r="J28" s="19">
        <f t="shared" si="1"/>
        <v>293152977.6354</v>
      </c>
      <c r="K28" s="24">
        <f t="shared" si="2"/>
        <v>59586926.735399991</v>
      </c>
    </row>
    <row r="29" spans="1:11" x14ac:dyDescent="0.25">
      <c r="A29" s="14" t="s">
        <v>1366</v>
      </c>
      <c r="B29" s="15" t="s">
        <v>1530</v>
      </c>
      <c r="C29" s="15">
        <v>68338781.280000001</v>
      </c>
      <c r="D29" s="15">
        <v>3580</v>
      </c>
      <c r="E29" s="15">
        <v>19089.045050000001</v>
      </c>
      <c r="F29" s="15" t="s">
        <v>1316</v>
      </c>
      <c r="G29" s="15" t="s">
        <v>1365</v>
      </c>
      <c r="H29" s="16" t="s">
        <v>1318</v>
      </c>
      <c r="I29" s="25">
        <f>E$26</f>
        <v>21041.700949999999</v>
      </c>
      <c r="J29" s="18">
        <f t="shared" si="1"/>
        <v>75329289.400999993</v>
      </c>
      <c r="K29" s="26">
        <f t="shared" si="2"/>
        <v>0</v>
      </c>
    </row>
    <row r="30" spans="1:11" ht="15.75" thickBot="1" x14ac:dyDescent="0.3">
      <c r="A30" s="11" t="s">
        <v>1373</v>
      </c>
      <c r="B30" s="12" t="s">
        <v>1564</v>
      </c>
      <c r="C30" s="12">
        <v>11960083.07</v>
      </c>
      <c r="D30" s="12">
        <v>782</v>
      </c>
      <c r="E30" s="12">
        <v>15294.22388</v>
      </c>
      <c r="F30" s="12" t="s">
        <v>1318</v>
      </c>
      <c r="G30" s="12" t="s">
        <v>1365</v>
      </c>
      <c r="H30" s="13" t="s">
        <v>1316</v>
      </c>
      <c r="I30" s="27">
        <f>E$26</f>
        <v>21041.700949999999</v>
      </c>
      <c r="J30" s="28">
        <f t="shared" si="1"/>
        <v>16454610.142899999</v>
      </c>
      <c r="K30" s="29">
        <f t="shared" si="2"/>
        <v>4494527.0728999991</v>
      </c>
    </row>
    <row r="31" spans="1:11" ht="15.75" thickBot="1" x14ac:dyDescent="0.3">
      <c r="J31" s="67" t="s">
        <v>1750</v>
      </c>
      <c r="K31" s="68">
        <f>SUM(K3:K30)</f>
        <v>307921065.53034496</v>
      </c>
    </row>
    <row r="32" spans="1:11" x14ac:dyDescent="0.25">
      <c r="C32" s="77"/>
      <c r="J32" s="77"/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2F0-7BB7-445C-B234-1D050460FF43}">
  <sheetPr filterMode="1"/>
  <dimension ref="A1:H618"/>
  <sheetViews>
    <sheetView workbookViewId="0">
      <selection activeCell="I122" sqref="I122"/>
    </sheetView>
  </sheetViews>
  <sheetFormatPr defaultRowHeight="15" x14ac:dyDescent="0.25"/>
  <cols>
    <col min="1" max="1" width="12.28515625" style="1" bestFit="1" customWidth="1"/>
    <col min="2" max="2" width="39.140625" bestFit="1" customWidth="1"/>
    <col min="3" max="3" width="18.85546875" bestFit="1" customWidth="1"/>
    <col min="4" max="4" width="17.7109375" bestFit="1" customWidth="1"/>
    <col min="5" max="5" width="29.28515625" bestFit="1" customWidth="1"/>
    <col min="6" max="6" width="21.5703125" bestFit="1" customWidth="1"/>
    <col min="7" max="7" width="22.42578125" bestFit="1" customWidth="1"/>
    <col min="8" max="8" width="19.28515625" bestFit="1" customWidth="1"/>
    <col min="9" max="9" width="22.85546875" bestFit="1" customWidth="1"/>
    <col min="10" max="10" width="26.42578125" bestFit="1" customWidth="1"/>
    <col min="11" max="11" width="14" bestFit="1" customWidth="1"/>
  </cols>
  <sheetData>
    <row r="1" spans="1:8" ht="15.75" thickBot="1" x14ac:dyDescent="0.3">
      <c r="A1" s="6" t="s">
        <v>0</v>
      </c>
      <c r="B1" s="7" t="s">
        <v>5</v>
      </c>
      <c r="C1" s="7" t="s">
        <v>18</v>
      </c>
      <c r="D1" s="7" t="s">
        <v>19</v>
      </c>
      <c r="E1" s="7" t="s">
        <v>20</v>
      </c>
      <c r="F1" s="7" t="s">
        <v>1633</v>
      </c>
      <c r="G1" s="7" t="s">
        <v>1312</v>
      </c>
      <c r="H1" s="7" t="s">
        <v>1313</v>
      </c>
    </row>
    <row r="2" spans="1:8" hidden="1" x14ac:dyDescent="0.25">
      <c r="A2" s="1" t="s">
        <v>1</v>
      </c>
      <c r="B2" t="s">
        <v>6</v>
      </c>
      <c r="C2">
        <v>3966530837</v>
      </c>
      <c r="D2">
        <v>62830</v>
      </c>
      <c r="E2">
        <v>63131.160860000004</v>
      </c>
      <c r="F2" t="e">
        <f>VLOOKUP(A2, BIOSIM_REF!$A:$E, 3, FALSE)</f>
        <v>#N/A</v>
      </c>
      <c r="G2" t="e">
        <f>VLOOKUP(A2, BIOSIM_REF!$A:$E, 4, FALSE)</f>
        <v>#N/A</v>
      </c>
      <c r="H2" t="e">
        <f>VLOOKUP(A2, BIOSIM_REF!$A:$E, 5, FALSE)</f>
        <v>#N/A</v>
      </c>
    </row>
    <row r="3" spans="1:8" hidden="1" x14ac:dyDescent="0.25">
      <c r="A3" s="1" t="s">
        <v>2</v>
      </c>
      <c r="B3" t="s">
        <v>7</v>
      </c>
      <c r="C3">
        <v>3415890772</v>
      </c>
      <c r="D3">
        <v>309699</v>
      </c>
      <c r="E3">
        <v>11029.71199</v>
      </c>
      <c r="F3" t="e">
        <f>VLOOKUP(A3, BIOSIM_REF!$A:$E, 3, FALSE)</f>
        <v>#N/A</v>
      </c>
      <c r="G3" t="e">
        <f>VLOOKUP(A3, BIOSIM_REF!$A:$E, 4, FALSE)</f>
        <v>#N/A</v>
      </c>
      <c r="H3" t="e">
        <f>VLOOKUP(A3, BIOSIM_REF!$A:$E, 5, FALSE)</f>
        <v>#N/A</v>
      </c>
    </row>
    <row r="4" spans="1:8" hidden="1" x14ac:dyDescent="0.25">
      <c r="A4" s="1" t="s">
        <v>3</v>
      </c>
      <c r="B4" t="s">
        <v>8</v>
      </c>
      <c r="C4">
        <v>1780811015</v>
      </c>
      <c r="D4">
        <v>629724</v>
      </c>
      <c r="E4">
        <v>2827.9230499999999</v>
      </c>
      <c r="F4" t="e">
        <f>VLOOKUP(A4, BIOSIM_REF!$A:$E, 3, FALSE)</f>
        <v>#N/A</v>
      </c>
      <c r="G4" t="e">
        <f>VLOOKUP(A4, BIOSIM_REF!$A:$E, 4, FALSE)</f>
        <v>#N/A</v>
      </c>
      <c r="H4" t="e">
        <f>VLOOKUP(A4, BIOSIM_REF!$A:$E, 5, FALSE)</f>
        <v>#N/A</v>
      </c>
    </row>
    <row r="5" spans="1:8" hidden="1" x14ac:dyDescent="0.25">
      <c r="A5" s="1" t="s">
        <v>4</v>
      </c>
      <c r="B5" t="s">
        <v>9</v>
      </c>
      <c r="C5">
        <v>1573611853</v>
      </c>
      <c r="D5">
        <v>25426</v>
      </c>
      <c r="E5">
        <v>61889.870710000003</v>
      </c>
      <c r="F5" t="e">
        <f>VLOOKUP(A5, BIOSIM_REF!$A:$E, 3, FALSE)</f>
        <v>#N/A</v>
      </c>
      <c r="G5" t="e">
        <f>VLOOKUP(A5, BIOSIM_REF!$A:$E, 4, FALSE)</f>
        <v>#N/A</v>
      </c>
      <c r="H5" t="e">
        <f>VLOOKUP(A5, BIOSIM_REF!$A:$E, 5, FALSE)</f>
        <v>#N/A</v>
      </c>
    </row>
    <row r="6" spans="1:8" hidden="1" x14ac:dyDescent="0.25">
      <c r="A6" s="1" t="s">
        <v>1388</v>
      </c>
      <c r="B6" t="s">
        <v>1498</v>
      </c>
      <c r="C6">
        <v>1046702030</v>
      </c>
      <c r="D6">
        <v>12490</v>
      </c>
      <c r="E6">
        <v>83803.204949999999</v>
      </c>
      <c r="F6" t="e">
        <f>VLOOKUP(A6, BIOSIM_REF!$A:$E, 3, FALSE)</f>
        <v>#N/A</v>
      </c>
      <c r="G6" t="e">
        <f>VLOOKUP(A6, BIOSIM_REF!$A:$E, 4, FALSE)</f>
        <v>#N/A</v>
      </c>
      <c r="H6" t="e">
        <f>VLOOKUP(A6, BIOSIM_REF!$A:$E, 5, FALSE)</f>
        <v>#N/A</v>
      </c>
    </row>
    <row r="7" spans="1:8" hidden="1" x14ac:dyDescent="0.25">
      <c r="A7" s="1" t="s">
        <v>21</v>
      </c>
      <c r="B7" t="s">
        <v>23</v>
      </c>
      <c r="C7">
        <v>1044929993</v>
      </c>
      <c r="D7">
        <v>114432</v>
      </c>
      <c r="E7">
        <v>9131.4491870000002</v>
      </c>
      <c r="F7" t="e">
        <f>VLOOKUP(A7, BIOSIM_REF!$A:$E, 3, FALSE)</f>
        <v>#N/A</v>
      </c>
      <c r="G7" t="e">
        <f>VLOOKUP(A7, BIOSIM_REF!$A:$E, 4, FALSE)</f>
        <v>#N/A</v>
      </c>
      <c r="H7" t="e">
        <f>VLOOKUP(A7, BIOSIM_REF!$A:$E, 5, FALSE)</f>
        <v>#N/A</v>
      </c>
    </row>
    <row r="8" spans="1:8" hidden="1" x14ac:dyDescent="0.25">
      <c r="A8" s="1" t="s">
        <v>22</v>
      </c>
      <c r="B8" t="s">
        <v>24</v>
      </c>
      <c r="C8">
        <v>988943741.60000002</v>
      </c>
      <c r="D8">
        <v>31429</v>
      </c>
      <c r="E8">
        <v>31465.9627</v>
      </c>
      <c r="F8" t="e">
        <f>VLOOKUP(A8, BIOSIM_REF!$A:$E, 3, FALSE)</f>
        <v>#N/A</v>
      </c>
      <c r="G8" t="e">
        <f>VLOOKUP(A8, BIOSIM_REF!$A:$E, 4, FALSE)</f>
        <v>#N/A</v>
      </c>
      <c r="H8" t="e">
        <f>VLOOKUP(A8, BIOSIM_REF!$A:$E, 5, FALSE)</f>
        <v>#N/A</v>
      </c>
    </row>
    <row r="9" spans="1:8" x14ac:dyDescent="0.25">
      <c r="A9" s="2" t="s">
        <v>108</v>
      </c>
      <c r="B9" s="3" t="s">
        <v>113</v>
      </c>
      <c r="C9" s="3">
        <v>223709770.90000001</v>
      </c>
      <c r="D9" s="3">
        <v>6944</v>
      </c>
      <c r="E9" s="3">
        <v>32216.26885</v>
      </c>
      <c r="F9" s="3" t="str">
        <f>VLOOKUP(A9, BIOSIM_REF!$A:$E, 3, FALSE)</f>
        <v>Y</v>
      </c>
      <c r="G9" s="3" t="str">
        <f>VLOOKUP(A9, BIOSIM_REF!$A:$E, 4, FALSE)</f>
        <v>HERCEPTIN</v>
      </c>
      <c r="H9" s="3" t="str">
        <f>VLOOKUP(A9, BIOSIM_REF!$A:$E, 5, FALSE)</f>
        <v>N</v>
      </c>
    </row>
    <row r="10" spans="1:8" hidden="1" x14ac:dyDescent="0.25">
      <c r="A10" s="1" t="s">
        <v>1389</v>
      </c>
      <c r="B10" t="s">
        <v>1500</v>
      </c>
      <c r="C10">
        <v>656074898.5</v>
      </c>
      <c r="D10">
        <v>12580</v>
      </c>
      <c r="E10">
        <v>52152.217689999998</v>
      </c>
      <c r="F10" t="e">
        <f>VLOOKUP(A10, BIOSIM_REF!$A:$E, 3, FALSE)</f>
        <v>#N/A</v>
      </c>
      <c r="G10" t="e">
        <f>VLOOKUP(A10, BIOSIM_REF!$A:$E, 4, FALSE)</f>
        <v>#N/A</v>
      </c>
      <c r="H10" t="e">
        <f>VLOOKUP(A10, BIOSIM_REF!$A:$E, 5, FALSE)</f>
        <v>#N/A</v>
      </c>
    </row>
    <row r="11" spans="1:8" hidden="1" x14ac:dyDescent="0.25">
      <c r="A11" s="1" t="s">
        <v>27</v>
      </c>
      <c r="B11" t="s">
        <v>28</v>
      </c>
      <c r="C11">
        <v>642451165.89999998</v>
      </c>
      <c r="D11">
        <v>1645</v>
      </c>
      <c r="E11">
        <v>390547.82120000001</v>
      </c>
      <c r="F11" t="e">
        <f>VLOOKUP(A11, BIOSIM_REF!$A:$E, 3, FALSE)</f>
        <v>#N/A</v>
      </c>
      <c r="G11" t="e">
        <f>VLOOKUP(A11, BIOSIM_REF!$A:$E, 4, FALSE)</f>
        <v>#N/A</v>
      </c>
      <c r="H11" t="e">
        <f>VLOOKUP(A11, BIOSIM_REF!$A:$E, 5, FALSE)</f>
        <v>#N/A</v>
      </c>
    </row>
    <row r="12" spans="1:8" hidden="1" x14ac:dyDescent="0.25">
      <c r="A12" s="1" t="s">
        <v>1390</v>
      </c>
      <c r="B12" t="s">
        <v>1501</v>
      </c>
      <c r="C12">
        <v>608203406.60000002</v>
      </c>
      <c r="D12">
        <v>12327</v>
      </c>
      <c r="E12">
        <v>49339.126040000003</v>
      </c>
      <c r="F12" t="e">
        <f>VLOOKUP(A12, BIOSIM_REF!$A:$E, 3, FALSE)</f>
        <v>#N/A</v>
      </c>
      <c r="G12" t="e">
        <f>VLOOKUP(A12, BIOSIM_REF!$A:$E, 4, FALSE)</f>
        <v>#N/A</v>
      </c>
      <c r="H12" t="e">
        <f>VLOOKUP(A12, BIOSIM_REF!$A:$E, 5, FALSE)</f>
        <v>#N/A</v>
      </c>
    </row>
    <row r="13" spans="1:8" hidden="1" x14ac:dyDescent="0.25">
      <c r="A13" s="1" t="s">
        <v>30</v>
      </c>
      <c r="B13" t="s">
        <v>37</v>
      </c>
      <c r="C13">
        <v>526528196.5</v>
      </c>
      <c r="D13">
        <v>15742</v>
      </c>
      <c r="E13">
        <v>33447.350810000004</v>
      </c>
      <c r="F13" t="e">
        <f>VLOOKUP(A13, BIOSIM_REF!$A:$E, 3, FALSE)</f>
        <v>#N/A</v>
      </c>
      <c r="G13" t="e">
        <f>VLOOKUP(A13, BIOSIM_REF!$A:$E, 4, FALSE)</f>
        <v>#N/A</v>
      </c>
      <c r="H13" t="e">
        <f>VLOOKUP(A13, BIOSIM_REF!$A:$E, 5, FALSE)</f>
        <v>#N/A</v>
      </c>
    </row>
    <row r="14" spans="1:8" x14ac:dyDescent="0.25">
      <c r="A14" s="2" t="s">
        <v>1325</v>
      </c>
      <c r="B14" s="3" t="s">
        <v>1516</v>
      </c>
      <c r="C14" s="3">
        <v>159309828.69999999</v>
      </c>
      <c r="D14" s="3">
        <v>7550</v>
      </c>
      <c r="E14" s="3">
        <v>21100.63956</v>
      </c>
      <c r="F14" s="3" t="str">
        <f>VLOOKUP(A14, BIOSIM_REF!$A:$E, 3, FALSE)</f>
        <v>N</v>
      </c>
      <c r="G14" s="3" t="str">
        <f>VLOOKUP(A14, BIOSIM_REF!$A:$E, 4, FALSE)</f>
        <v>HERCEPTIN</v>
      </c>
      <c r="H14" s="3" t="str">
        <f>VLOOKUP(A14, BIOSIM_REF!$A:$E, 5, FALSE)</f>
        <v>Y</v>
      </c>
    </row>
    <row r="15" spans="1:8" x14ac:dyDescent="0.25">
      <c r="A15" s="2" t="s">
        <v>1327</v>
      </c>
      <c r="B15" s="3" t="s">
        <v>1533</v>
      </c>
      <c r="C15" s="3">
        <v>59996201.530000001</v>
      </c>
      <c r="D15" s="3">
        <v>2993</v>
      </c>
      <c r="E15" s="3">
        <v>20045.506689999998</v>
      </c>
      <c r="F15" s="3" t="str">
        <f>VLOOKUP(A15, BIOSIM_REF!$A:$E, 3, FALSE)</f>
        <v>N</v>
      </c>
      <c r="G15" s="3" t="str">
        <f>VLOOKUP(A15, BIOSIM_REF!$A:$E, 4, FALSE)</f>
        <v>HERCEPTIN</v>
      </c>
      <c r="H15" s="3" t="str">
        <f>VLOOKUP(A15, BIOSIM_REF!$A:$E, 5, FALSE)</f>
        <v>Y</v>
      </c>
    </row>
    <row r="16" spans="1:8" hidden="1" x14ac:dyDescent="0.25">
      <c r="A16" s="1" t="s">
        <v>33</v>
      </c>
      <c r="B16" t="s">
        <v>40</v>
      </c>
      <c r="C16">
        <v>504586233.39999998</v>
      </c>
      <c r="D16">
        <v>18538</v>
      </c>
      <c r="E16">
        <v>27219.02219</v>
      </c>
      <c r="F16" t="e">
        <f>VLOOKUP(A16, BIOSIM_REF!$A:$E, 3, FALSE)</f>
        <v>#N/A</v>
      </c>
      <c r="G16" t="e">
        <f>VLOOKUP(A16, BIOSIM_REF!$A:$E, 4, FALSE)</f>
        <v>#N/A</v>
      </c>
      <c r="H16" t="e">
        <f>VLOOKUP(A16, BIOSIM_REF!$A:$E, 5, FALSE)</f>
        <v>#N/A</v>
      </c>
    </row>
    <row r="17" spans="1:8" hidden="1" x14ac:dyDescent="0.25">
      <c r="A17" s="1" t="s">
        <v>34</v>
      </c>
      <c r="B17" t="s">
        <v>41</v>
      </c>
      <c r="C17">
        <v>500152674.69999999</v>
      </c>
      <c r="D17">
        <v>21410</v>
      </c>
      <c r="E17">
        <v>23360.704099999999</v>
      </c>
      <c r="F17" t="e">
        <f>VLOOKUP(A17, BIOSIM_REF!$A:$E, 3, FALSE)</f>
        <v>#N/A</v>
      </c>
      <c r="G17" t="e">
        <f>VLOOKUP(A17, BIOSIM_REF!$A:$E, 4, FALSE)</f>
        <v>#N/A</v>
      </c>
      <c r="H17" t="e">
        <f>VLOOKUP(A17, BIOSIM_REF!$A:$E, 5, FALSE)</f>
        <v>#N/A</v>
      </c>
    </row>
    <row r="18" spans="1:8" hidden="1" x14ac:dyDescent="0.25">
      <c r="A18" s="1" t="s">
        <v>35</v>
      </c>
      <c r="B18" t="s">
        <v>42</v>
      </c>
      <c r="C18">
        <v>478628176.10000002</v>
      </c>
      <c r="D18">
        <v>8083</v>
      </c>
      <c r="E18">
        <v>59214.174950000001</v>
      </c>
      <c r="F18" t="e">
        <f>VLOOKUP(A18, BIOSIM_REF!$A:$E, 3, FALSE)</f>
        <v>#N/A</v>
      </c>
      <c r="G18" t="e">
        <f>VLOOKUP(A18, BIOSIM_REF!$A:$E, 4, FALSE)</f>
        <v>#N/A</v>
      </c>
      <c r="H18" t="e">
        <f>VLOOKUP(A18, BIOSIM_REF!$A:$E, 5, FALSE)</f>
        <v>#N/A</v>
      </c>
    </row>
    <row r="19" spans="1:8" hidden="1" x14ac:dyDescent="0.25">
      <c r="A19" s="1" t="s">
        <v>36</v>
      </c>
      <c r="B19" t="s">
        <v>43</v>
      </c>
      <c r="C19">
        <v>477381476.10000002</v>
      </c>
      <c r="D19">
        <v>17337</v>
      </c>
      <c r="E19">
        <v>27535.414199999999</v>
      </c>
      <c r="F19" t="e">
        <f>VLOOKUP(A19, BIOSIM_REF!$A:$E, 3, FALSE)</f>
        <v>#N/A</v>
      </c>
      <c r="G19" t="e">
        <f>VLOOKUP(A19, BIOSIM_REF!$A:$E, 4, FALSE)</f>
        <v>#N/A</v>
      </c>
      <c r="H19" t="e">
        <f>VLOOKUP(A19, BIOSIM_REF!$A:$E, 5, FALSE)</f>
        <v>#N/A</v>
      </c>
    </row>
    <row r="20" spans="1:8" hidden="1" x14ac:dyDescent="0.25">
      <c r="A20" s="1">
        <v>90662</v>
      </c>
      <c r="B20" t="s">
        <v>44</v>
      </c>
      <c r="C20">
        <v>477053148.10000002</v>
      </c>
      <c r="D20">
        <v>7631960</v>
      </c>
      <c r="E20">
        <v>62.507291459999998</v>
      </c>
      <c r="F20" t="e">
        <f>VLOOKUP(A20, BIOSIM_REF!$A:$E, 3, FALSE)</f>
        <v>#N/A</v>
      </c>
      <c r="G20" t="e">
        <f>VLOOKUP(A20, BIOSIM_REF!$A:$E, 4, FALSE)</f>
        <v>#N/A</v>
      </c>
      <c r="H20" t="e">
        <f>VLOOKUP(A20, BIOSIM_REF!$A:$E, 5, FALSE)</f>
        <v>#N/A</v>
      </c>
    </row>
    <row r="21" spans="1:8" hidden="1" x14ac:dyDescent="0.25">
      <c r="A21" s="1" t="s">
        <v>1391</v>
      </c>
      <c r="B21" t="s">
        <v>1502</v>
      </c>
      <c r="C21">
        <v>453544571.60000002</v>
      </c>
      <c r="D21">
        <v>9073</v>
      </c>
      <c r="E21">
        <v>49988.379990000001</v>
      </c>
      <c r="F21" t="e">
        <f>VLOOKUP(A21, BIOSIM_REF!$A:$E, 3, FALSE)</f>
        <v>#N/A</v>
      </c>
      <c r="G21" t="e">
        <f>VLOOKUP(A21, BIOSIM_REF!$A:$E, 4, FALSE)</f>
        <v>#N/A</v>
      </c>
      <c r="H21" t="e">
        <f>VLOOKUP(A21, BIOSIM_REF!$A:$E, 5, FALSE)</f>
        <v>#N/A</v>
      </c>
    </row>
    <row r="22" spans="1:8" hidden="1" x14ac:dyDescent="0.25">
      <c r="A22" s="1" t="s">
        <v>53</v>
      </c>
      <c r="B22" t="s">
        <v>62</v>
      </c>
      <c r="C22">
        <v>432652274</v>
      </c>
      <c r="D22">
        <v>9465</v>
      </c>
      <c r="E22">
        <v>45710.752670000002</v>
      </c>
      <c r="F22" t="e">
        <f>VLOOKUP(A22, BIOSIM_REF!$A:$E, 3, FALSE)</f>
        <v>#N/A</v>
      </c>
      <c r="G22" t="e">
        <f>VLOOKUP(A22, BIOSIM_REF!$A:$E, 4, FALSE)</f>
        <v>#N/A</v>
      </c>
      <c r="H22" t="e">
        <f>VLOOKUP(A22, BIOSIM_REF!$A:$E, 5, FALSE)</f>
        <v>#N/A</v>
      </c>
    </row>
    <row r="23" spans="1:8" hidden="1" x14ac:dyDescent="0.25">
      <c r="A23" s="1" t="s">
        <v>54</v>
      </c>
      <c r="B23" t="s">
        <v>63</v>
      </c>
      <c r="C23">
        <v>423591151.10000002</v>
      </c>
      <c r="D23">
        <v>13442</v>
      </c>
      <c r="E23">
        <v>31512.50938</v>
      </c>
      <c r="F23" t="e">
        <f>VLOOKUP(A23, BIOSIM_REF!$A:$E, 3, FALSE)</f>
        <v>#N/A</v>
      </c>
      <c r="G23" t="e">
        <f>VLOOKUP(A23, BIOSIM_REF!$A:$E, 4, FALSE)</f>
        <v>#N/A</v>
      </c>
      <c r="H23" t="e">
        <f>VLOOKUP(A23, BIOSIM_REF!$A:$E, 5, FALSE)</f>
        <v>#N/A</v>
      </c>
    </row>
    <row r="24" spans="1:8" hidden="1" x14ac:dyDescent="0.25">
      <c r="A24" s="1" t="s">
        <v>55</v>
      </c>
      <c r="B24" t="s">
        <v>64</v>
      </c>
      <c r="C24">
        <v>408091302.69999999</v>
      </c>
      <c r="D24">
        <v>7687</v>
      </c>
      <c r="E24">
        <v>53088.500410000001</v>
      </c>
      <c r="F24" t="e">
        <f>VLOOKUP(A24, BIOSIM_REF!$A:$E, 3, FALSE)</f>
        <v>#N/A</v>
      </c>
      <c r="G24" t="e">
        <f>VLOOKUP(A24, BIOSIM_REF!$A:$E, 4, FALSE)</f>
        <v>#N/A</v>
      </c>
      <c r="H24" t="e">
        <f>VLOOKUP(A24, BIOSIM_REF!$A:$E, 5, FALSE)</f>
        <v>#N/A</v>
      </c>
    </row>
    <row r="25" spans="1:8" hidden="1" x14ac:dyDescent="0.25">
      <c r="A25" s="1" t="s">
        <v>56</v>
      </c>
      <c r="B25" t="s">
        <v>65</v>
      </c>
      <c r="C25">
        <v>401920803.10000002</v>
      </c>
      <c r="D25">
        <v>17789</v>
      </c>
      <c r="E25">
        <v>22593.78285</v>
      </c>
      <c r="F25" t="e">
        <f>VLOOKUP(A25, BIOSIM_REF!$A:$E, 3, FALSE)</f>
        <v>#N/A</v>
      </c>
      <c r="G25" t="e">
        <f>VLOOKUP(A25, BIOSIM_REF!$A:$E, 4, FALSE)</f>
        <v>#N/A</v>
      </c>
      <c r="H25" t="e">
        <f>VLOOKUP(A25, BIOSIM_REF!$A:$E, 5, FALSE)</f>
        <v>#N/A</v>
      </c>
    </row>
    <row r="26" spans="1:8" hidden="1" x14ac:dyDescent="0.25">
      <c r="A26" s="1" t="s">
        <v>57</v>
      </c>
      <c r="B26" t="s">
        <v>66</v>
      </c>
      <c r="C26">
        <v>398958476.10000002</v>
      </c>
      <c r="D26">
        <v>6260</v>
      </c>
      <c r="E26">
        <v>63731.385970000003</v>
      </c>
      <c r="F26" t="e">
        <f>VLOOKUP(A26, BIOSIM_REF!$A:$E, 3, FALSE)</f>
        <v>#N/A</v>
      </c>
      <c r="G26" t="e">
        <f>VLOOKUP(A26, BIOSIM_REF!$A:$E, 4, FALSE)</f>
        <v>#N/A</v>
      </c>
      <c r="H26" t="e">
        <f>VLOOKUP(A26, BIOSIM_REF!$A:$E, 5, FALSE)</f>
        <v>#N/A</v>
      </c>
    </row>
    <row r="27" spans="1:8" hidden="1" x14ac:dyDescent="0.25">
      <c r="A27" s="1" t="s">
        <v>58</v>
      </c>
      <c r="B27" t="s">
        <v>67</v>
      </c>
      <c r="C27">
        <v>370063974.80000001</v>
      </c>
      <c r="D27">
        <v>26875</v>
      </c>
      <c r="E27">
        <v>13769.822319999999</v>
      </c>
      <c r="F27" t="e">
        <f>VLOOKUP(A27, BIOSIM_REF!$A:$E, 3, FALSE)</f>
        <v>#N/A</v>
      </c>
      <c r="G27" t="e">
        <f>VLOOKUP(A27, BIOSIM_REF!$A:$E, 4, FALSE)</f>
        <v>#N/A</v>
      </c>
      <c r="H27" t="e">
        <f>VLOOKUP(A27, BIOSIM_REF!$A:$E, 5, FALSE)</f>
        <v>#N/A</v>
      </c>
    </row>
    <row r="28" spans="1:8" hidden="1" x14ac:dyDescent="0.25">
      <c r="A28" s="1" t="s">
        <v>59</v>
      </c>
      <c r="B28" t="s">
        <v>68</v>
      </c>
      <c r="C28">
        <v>369311857.89999998</v>
      </c>
      <c r="D28">
        <v>154678</v>
      </c>
      <c r="E28">
        <v>2387.6172299999998</v>
      </c>
      <c r="F28" t="e">
        <f>VLOOKUP(A28, BIOSIM_REF!$A:$E, 3, FALSE)</f>
        <v>#N/A</v>
      </c>
      <c r="G28" t="e">
        <f>VLOOKUP(A28, BIOSIM_REF!$A:$E, 4, FALSE)</f>
        <v>#N/A</v>
      </c>
      <c r="H28" t="e">
        <f>VLOOKUP(A28, BIOSIM_REF!$A:$E, 5, FALSE)</f>
        <v>#N/A</v>
      </c>
    </row>
    <row r="29" spans="1:8" hidden="1" x14ac:dyDescent="0.25">
      <c r="A29" s="1" t="s">
        <v>60</v>
      </c>
      <c r="B29" t="s">
        <v>69</v>
      </c>
      <c r="C29">
        <v>366441060.69999999</v>
      </c>
      <c r="D29">
        <v>143146</v>
      </c>
      <c r="E29">
        <v>2559.9112839999998</v>
      </c>
      <c r="F29" t="e">
        <f>VLOOKUP(A29, BIOSIM_REF!$A:$E, 3, FALSE)</f>
        <v>#N/A</v>
      </c>
      <c r="G29" t="e">
        <f>VLOOKUP(A29, BIOSIM_REF!$A:$E, 4, FALSE)</f>
        <v>#N/A</v>
      </c>
      <c r="H29" t="e">
        <f>VLOOKUP(A29, BIOSIM_REF!$A:$E, 5, FALSE)</f>
        <v>#N/A</v>
      </c>
    </row>
    <row r="30" spans="1:8" hidden="1" x14ac:dyDescent="0.25">
      <c r="A30" s="1" t="s">
        <v>61</v>
      </c>
      <c r="B30" t="s">
        <v>70</v>
      </c>
      <c r="C30">
        <v>362797565.80000001</v>
      </c>
      <c r="D30">
        <v>17267</v>
      </c>
      <c r="E30">
        <v>21011.03642</v>
      </c>
      <c r="F30" t="e">
        <f>VLOOKUP(A30, BIOSIM_REF!$A:$E, 3, FALSE)</f>
        <v>#N/A</v>
      </c>
      <c r="G30" t="e">
        <f>VLOOKUP(A30, BIOSIM_REF!$A:$E, 4, FALSE)</f>
        <v>#N/A</v>
      </c>
      <c r="H30" t="e">
        <f>VLOOKUP(A30, BIOSIM_REF!$A:$E, 5, FALSE)</f>
        <v>#N/A</v>
      </c>
    </row>
    <row r="31" spans="1:8" hidden="1" x14ac:dyDescent="0.25">
      <c r="A31" s="1" t="s">
        <v>1392</v>
      </c>
      <c r="B31" t="s">
        <v>1503</v>
      </c>
      <c r="C31">
        <v>336344276</v>
      </c>
      <c r="D31">
        <v>15239</v>
      </c>
      <c r="E31">
        <v>22071.282630000002</v>
      </c>
      <c r="F31" t="e">
        <f>VLOOKUP(A31, BIOSIM_REF!$A:$E, 3, FALSE)</f>
        <v>#N/A</v>
      </c>
      <c r="G31" t="e">
        <f>VLOOKUP(A31, BIOSIM_REF!$A:$E, 4, FALSE)</f>
        <v>#N/A</v>
      </c>
      <c r="H31" t="e">
        <f>VLOOKUP(A31, BIOSIM_REF!$A:$E, 5, FALSE)</f>
        <v>#N/A</v>
      </c>
    </row>
    <row r="32" spans="1:8" hidden="1" x14ac:dyDescent="0.25">
      <c r="A32" s="1" t="s">
        <v>80</v>
      </c>
      <c r="B32" t="s">
        <v>83</v>
      </c>
      <c r="C32">
        <v>333905536.89999998</v>
      </c>
      <c r="D32">
        <v>16663</v>
      </c>
      <c r="E32">
        <v>20038.740740000001</v>
      </c>
      <c r="F32" t="e">
        <f>VLOOKUP(A32, BIOSIM_REF!$A:$E, 3, FALSE)</f>
        <v>#N/A</v>
      </c>
      <c r="G32" t="e">
        <f>VLOOKUP(A32, BIOSIM_REF!$A:$E, 4, FALSE)</f>
        <v>#N/A</v>
      </c>
      <c r="H32" t="e">
        <f>VLOOKUP(A32, BIOSIM_REF!$A:$E, 5, FALSE)</f>
        <v>#N/A</v>
      </c>
    </row>
    <row r="33" spans="1:8" hidden="1" x14ac:dyDescent="0.25">
      <c r="A33" s="1" t="s">
        <v>81</v>
      </c>
      <c r="B33" t="s">
        <v>84</v>
      </c>
      <c r="C33">
        <v>311732182.5</v>
      </c>
      <c r="D33">
        <v>12064</v>
      </c>
      <c r="E33">
        <v>25839.86924</v>
      </c>
      <c r="F33" t="e">
        <f>VLOOKUP(A33, BIOSIM_REF!$A:$E, 3, FALSE)</f>
        <v>#N/A</v>
      </c>
      <c r="G33" t="e">
        <f>VLOOKUP(A33, BIOSIM_REF!$A:$E, 4, FALSE)</f>
        <v>#N/A</v>
      </c>
      <c r="H33" t="e">
        <f>VLOOKUP(A33, BIOSIM_REF!$A:$E, 5, FALSE)</f>
        <v>#N/A</v>
      </c>
    </row>
    <row r="34" spans="1:8" hidden="1" x14ac:dyDescent="0.25">
      <c r="A34" s="1" t="s">
        <v>82</v>
      </c>
      <c r="B34" t="s">
        <v>85</v>
      </c>
      <c r="C34">
        <v>308197166.69999999</v>
      </c>
      <c r="D34">
        <v>5799</v>
      </c>
      <c r="E34">
        <v>53146.605730000003</v>
      </c>
      <c r="F34" t="e">
        <f>VLOOKUP(A34, BIOSIM_REF!$A:$E, 3, FALSE)</f>
        <v>#N/A</v>
      </c>
      <c r="G34" t="e">
        <f>VLOOKUP(A34, BIOSIM_REF!$A:$E, 4, FALSE)</f>
        <v>#N/A</v>
      </c>
      <c r="H34" t="e">
        <f>VLOOKUP(A34, BIOSIM_REF!$A:$E, 5, FALSE)</f>
        <v>#N/A</v>
      </c>
    </row>
    <row r="35" spans="1:8" hidden="1" x14ac:dyDescent="0.25">
      <c r="A35" s="1" t="s">
        <v>1393</v>
      </c>
      <c r="B35" t="s">
        <v>1504</v>
      </c>
      <c r="C35">
        <v>302693259.19999999</v>
      </c>
      <c r="D35">
        <v>1163</v>
      </c>
      <c r="E35">
        <v>260269.35449999999</v>
      </c>
      <c r="F35" t="e">
        <f>VLOOKUP(A35, BIOSIM_REF!$A:$E, 3, FALSE)</f>
        <v>#N/A</v>
      </c>
      <c r="G35" t="e">
        <f>VLOOKUP(A35, BIOSIM_REF!$A:$E, 4, FALSE)</f>
        <v>#N/A</v>
      </c>
      <c r="H35" t="e">
        <f>VLOOKUP(A35, BIOSIM_REF!$A:$E, 5, FALSE)</f>
        <v>#N/A</v>
      </c>
    </row>
    <row r="36" spans="1:8" hidden="1" x14ac:dyDescent="0.25">
      <c r="A36" s="1" t="s">
        <v>89</v>
      </c>
      <c r="B36" t="s">
        <v>91</v>
      </c>
      <c r="C36">
        <v>299033794.10000002</v>
      </c>
      <c r="D36">
        <v>7456</v>
      </c>
      <c r="E36">
        <v>40106.463799999998</v>
      </c>
      <c r="F36" t="e">
        <f>VLOOKUP(A36, BIOSIM_REF!$A:$E, 3, FALSE)</f>
        <v>#N/A</v>
      </c>
      <c r="G36" t="e">
        <f>VLOOKUP(A36, BIOSIM_REF!$A:$E, 4, FALSE)</f>
        <v>#N/A</v>
      </c>
      <c r="H36" t="e">
        <f>VLOOKUP(A36, BIOSIM_REF!$A:$E, 5, FALSE)</f>
        <v>#N/A</v>
      </c>
    </row>
    <row r="37" spans="1:8" hidden="1" x14ac:dyDescent="0.25">
      <c r="A37" s="1" t="s">
        <v>90</v>
      </c>
      <c r="B37" t="s">
        <v>92</v>
      </c>
      <c r="C37">
        <v>288597502.60000002</v>
      </c>
      <c r="D37">
        <v>13804</v>
      </c>
      <c r="E37">
        <v>20906.80257</v>
      </c>
      <c r="F37" t="e">
        <f>VLOOKUP(A37, BIOSIM_REF!$A:$E, 3, FALSE)</f>
        <v>#N/A</v>
      </c>
      <c r="G37" t="e">
        <f>VLOOKUP(A37, BIOSIM_REF!$A:$E, 4, FALSE)</f>
        <v>#N/A</v>
      </c>
      <c r="H37" t="e">
        <f>VLOOKUP(A37, BIOSIM_REF!$A:$E, 5, FALSE)</f>
        <v>#N/A</v>
      </c>
    </row>
    <row r="38" spans="1:8" x14ac:dyDescent="0.25">
      <c r="A38" s="2" t="s">
        <v>1321</v>
      </c>
      <c r="B38" s="3" t="s">
        <v>1538</v>
      </c>
      <c r="C38" s="3">
        <v>46807920.039999999</v>
      </c>
      <c r="D38" s="3">
        <v>2257</v>
      </c>
      <c r="E38" s="3">
        <v>20738.99869</v>
      </c>
      <c r="F38" s="3" t="str">
        <f>VLOOKUP(A38, BIOSIM_REF!$A:$E, 3, FALSE)</f>
        <v>N</v>
      </c>
      <c r="G38" s="3" t="str">
        <f>VLOOKUP(A38, BIOSIM_REF!$A:$E, 4, FALSE)</f>
        <v>HERCEPTIN</v>
      </c>
      <c r="H38" s="3" t="str">
        <f>VLOOKUP(A38, BIOSIM_REF!$A:$E, 5, FALSE)</f>
        <v>Y</v>
      </c>
    </row>
    <row r="39" spans="1:8" hidden="1" x14ac:dyDescent="0.25">
      <c r="A39" s="1">
        <v>90694</v>
      </c>
      <c r="B39" t="s">
        <v>1506</v>
      </c>
      <c r="C39">
        <v>269257212.60000002</v>
      </c>
      <c r="D39">
        <v>4239703</v>
      </c>
      <c r="E39">
        <v>63.50850818</v>
      </c>
      <c r="F39" t="e">
        <f>VLOOKUP(A39, BIOSIM_REF!$A:$E, 3, FALSE)</f>
        <v>#N/A</v>
      </c>
      <c r="G39" t="e">
        <f>VLOOKUP(A39, BIOSIM_REF!$A:$E, 4, FALSE)</f>
        <v>#N/A</v>
      </c>
      <c r="H39" t="e">
        <f>VLOOKUP(A39, BIOSIM_REF!$A:$E, 5, FALSE)</f>
        <v>#N/A</v>
      </c>
    </row>
    <row r="40" spans="1:8" hidden="1" x14ac:dyDescent="0.25">
      <c r="A40" s="1" t="s">
        <v>1394</v>
      </c>
      <c r="B40" t="s">
        <v>1507</v>
      </c>
      <c r="C40">
        <v>266191359.40000001</v>
      </c>
      <c r="D40">
        <v>2412</v>
      </c>
      <c r="E40">
        <v>110361.2601</v>
      </c>
      <c r="F40" t="e">
        <f>VLOOKUP(A40, BIOSIM_REF!$A:$E, 3, FALSE)</f>
        <v>#N/A</v>
      </c>
      <c r="G40" t="e">
        <f>VLOOKUP(A40, BIOSIM_REF!$A:$E, 4, FALSE)</f>
        <v>#N/A</v>
      </c>
      <c r="H40" t="e">
        <f>VLOOKUP(A40, BIOSIM_REF!$A:$E, 5, FALSE)</f>
        <v>#N/A</v>
      </c>
    </row>
    <row r="41" spans="1:8" hidden="1" x14ac:dyDescent="0.25">
      <c r="A41" s="1" t="s">
        <v>95</v>
      </c>
      <c r="B41" t="s">
        <v>99</v>
      </c>
      <c r="C41">
        <v>254253809.69999999</v>
      </c>
      <c r="D41">
        <v>5471</v>
      </c>
      <c r="E41">
        <v>46473.00488</v>
      </c>
      <c r="F41" t="e">
        <f>VLOOKUP(A41, BIOSIM_REF!$A:$E, 3, FALSE)</f>
        <v>#N/A</v>
      </c>
      <c r="G41" t="e">
        <f>VLOOKUP(A41, BIOSIM_REF!$A:$E, 4, FALSE)</f>
        <v>#N/A</v>
      </c>
      <c r="H41" t="e">
        <f>VLOOKUP(A41, BIOSIM_REF!$A:$E, 5, FALSE)</f>
        <v>#N/A</v>
      </c>
    </row>
    <row r="42" spans="1:8" hidden="1" x14ac:dyDescent="0.25">
      <c r="A42" s="1" t="s">
        <v>96</v>
      </c>
      <c r="B42" t="s">
        <v>100</v>
      </c>
      <c r="C42">
        <v>253875005.69999999</v>
      </c>
      <c r="D42">
        <v>1713</v>
      </c>
      <c r="E42">
        <v>148204.90700000001</v>
      </c>
      <c r="F42" t="e">
        <f>VLOOKUP(A42, BIOSIM_REF!$A:$E, 3, FALSE)</f>
        <v>#N/A</v>
      </c>
      <c r="G42" t="e">
        <f>VLOOKUP(A42, BIOSIM_REF!$A:$E, 4, FALSE)</f>
        <v>#N/A</v>
      </c>
      <c r="H42" t="e">
        <f>VLOOKUP(A42, BIOSIM_REF!$A:$E, 5, FALSE)</f>
        <v>#N/A</v>
      </c>
    </row>
    <row r="43" spans="1:8" hidden="1" x14ac:dyDescent="0.25">
      <c r="A43" s="1" t="s">
        <v>97</v>
      </c>
      <c r="B43" t="s">
        <v>101</v>
      </c>
      <c r="C43">
        <v>248357392</v>
      </c>
      <c r="D43">
        <v>4961</v>
      </c>
      <c r="E43">
        <v>50061.9617</v>
      </c>
      <c r="F43" t="e">
        <f>VLOOKUP(A43, BIOSIM_REF!$A:$E, 3, FALSE)</f>
        <v>#N/A</v>
      </c>
      <c r="G43" t="e">
        <f>VLOOKUP(A43, BIOSIM_REF!$A:$E, 4, FALSE)</f>
        <v>#N/A</v>
      </c>
      <c r="H43" t="e">
        <f>VLOOKUP(A43, BIOSIM_REF!$A:$E, 5, FALSE)</f>
        <v>#N/A</v>
      </c>
    </row>
    <row r="44" spans="1:8" hidden="1" x14ac:dyDescent="0.25">
      <c r="A44" s="1" t="s">
        <v>98</v>
      </c>
      <c r="B44" t="s">
        <v>102</v>
      </c>
      <c r="C44">
        <v>243387335.5</v>
      </c>
      <c r="D44">
        <v>9609</v>
      </c>
      <c r="E44">
        <v>25329.101409999999</v>
      </c>
      <c r="F44" t="e">
        <f>VLOOKUP(A44, BIOSIM_REF!$A:$E, 3, FALSE)</f>
        <v>#N/A</v>
      </c>
      <c r="G44" t="e">
        <f>VLOOKUP(A44, BIOSIM_REF!$A:$E, 4, FALSE)</f>
        <v>#N/A</v>
      </c>
      <c r="H44" t="e">
        <f>VLOOKUP(A44, BIOSIM_REF!$A:$E, 5, FALSE)</f>
        <v>#N/A</v>
      </c>
    </row>
    <row r="45" spans="1:8" x14ac:dyDescent="0.25">
      <c r="A45" s="2" t="s">
        <v>1314</v>
      </c>
      <c r="B45" s="3" t="s">
        <v>1553</v>
      </c>
      <c r="C45" s="3">
        <v>19235277.84</v>
      </c>
      <c r="D45" s="3">
        <v>597</v>
      </c>
      <c r="E45" s="3">
        <v>32219.89588</v>
      </c>
      <c r="F45" s="3" t="str">
        <f>VLOOKUP(A45, BIOSIM_REF!$A:$E, 3, FALSE)</f>
        <v>Y</v>
      </c>
      <c r="G45" s="3" t="str">
        <f>VLOOKUP(A45, BIOSIM_REF!$A:$E, 4, FALSE)</f>
        <v>HERCEPTIN</v>
      </c>
      <c r="H45" s="3" t="str">
        <f>VLOOKUP(A45, BIOSIM_REF!$A:$E, 5, FALSE)</f>
        <v>N</v>
      </c>
    </row>
    <row r="46" spans="1:8" hidden="1" x14ac:dyDescent="0.25">
      <c r="A46" s="1" t="s">
        <v>107</v>
      </c>
      <c r="B46" t="s">
        <v>112</v>
      </c>
      <c r="C46">
        <v>224127403</v>
      </c>
      <c r="D46">
        <v>155959</v>
      </c>
      <c r="E46">
        <v>1437.091819</v>
      </c>
      <c r="F46" t="e">
        <f>VLOOKUP(A46, BIOSIM_REF!$A:$E, 3, FALSE)</f>
        <v>#N/A</v>
      </c>
      <c r="G46" t="e">
        <f>VLOOKUP(A46, BIOSIM_REF!$A:$E, 4, FALSE)</f>
        <v>#N/A</v>
      </c>
      <c r="H46" t="e">
        <f>VLOOKUP(A46, BIOSIM_REF!$A:$E, 5, FALSE)</f>
        <v>#N/A</v>
      </c>
    </row>
    <row r="47" spans="1:8" x14ac:dyDescent="0.25">
      <c r="A47" s="2" t="s">
        <v>1323</v>
      </c>
      <c r="B47" s="3" t="s">
        <v>1565</v>
      </c>
      <c r="C47" s="3">
        <v>11340522.380000001</v>
      </c>
      <c r="D47" s="3">
        <v>531</v>
      </c>
      <c r="E47" s="3">
        <v>21356.915969999998</v>
      </c>
      <c r="F47" s="3" t="str">
        <f>VLOOKUP(A47, BIOSIM_REF!$A:$E, 3, FALSE)</f>
        <v>N</v>
      </c>
      <c r="G47" s="3" t="str">
        <f>VLOOKUP(A47, BIOSIM_REF!$A:$E, 4, FALSE)</f>
        <v>HERCEPTIN</v>
      </c>
      <c r="H47" s="3" t="str">
        <f>VLOOKUP(A47, BIOSIM_REF!$A:$E, 5, FALSE)</f>
        <v>Y</v>
      </c>
    </row>
    <row r="48" spans="1:8" hidden="1" x14ac:dyDescent="0.25">
      <c r="A48" s="1" t="s">
        <v>109</v>
      </c>
      <c r="B48" t="s">
        <v>114</v>
      </c>
      <c r="C48">
        <v>222552652.69999999</v>
      </c>
      <c r="D48">
        <v>4551</v>
      </c>
      <c r="E48">
        <v>48901.923239999996</v>
      </c>
      <c r="F48" t="e">
        <f>VLOOKUP(A48, BIOSIM_REF!$A:$E, 3, FALSE)</f>
        <v>#N/A</v>
      </c>
      <c r="G48" t="e">
        <f>VLOOKUP(A48, BIOSIM_REF!$A:$E, 4, FALSE)</f>
        <v>#N/A</v>
      </c>
      <c r="H48" t="e">
        <f>VLOOKUP(A48, BIOSIM_REF!$A:$E, 5, FALSE)</f>
        <v>#N/A</v>
      </c>
    </row>
    <row r="49" spans="1:8" hidden="1" x14ac:dyDescent="0.25">
      <c r="A49" s="1" t="s">
        <v>110</v>
      </c>
      <c r="B49" t="s">
        <v>115</v>
      </c>
      <c r="C49">
        <v>210518708.09999999</v>
      </c>
      <c r="D49">
        <v>8141</v>
      </c>
      <c r="E49">
        <v>25859.072359999998</v>
      </c>
      <c r="F49" t="e">
        <f>VLOOKUP(A49, BIOSIM_REF!$A:$E, 3, FALSE)</f>
        <v>#N/A</v>
      </c>
      <c r="G49" t="e">
        <f>VLOOKUP(A49, BIOSIM_REF!$A:$E, 4, FALSE)</f>
        <v>#N/A</v>
      </c>
      <c r="H49" t="e">
        <f>VLOOKUP(A49, BIOSIM_REF!$A:$E, 5, FALSE)</f>
        <v>#N/A</v>
      </c>
    </row>
    <row r="50" spans="1:8" hidden="1" x14ac:dyDescent="0.25">
      <c r="A50" s="1" t="s">
        <v>111</v>
      </c>
      <c r="B50" t="s">
        <v>116</v>
      </c>
      <c r="C50">
        <v>208017215.30000001</v>
      </c>
      <c r="D50">
        <v>4208</v>
      </c>
      <c r="E50">
        <v>49433.748890000003</v>
      </c>
      <c r="F50" t="e">
        <f>VLOOKUP(A50, BIOSIM_REF!$A:$E, 3, FALSE)</f>
        <v>#N/A</v>
      </c>
      <c r="G50" t="e">
        <f>VLOOKUP(A50, BIOSIM_REF!$A:$E, 4, FALSE)</f>
        <v>#N/A</v>
      </c>
      <c r="H50" t="e">
        <f>VLOOKUP(A50, BIOSIM_REF!$A:$E, 5, FALSE)</f>
        <v>#N/A</v>
      </c>
    </row>
    <row r="51" spans="1:8" hidden="1" x14ac:dyDescent="0.25">
      <c r="A51" s="1" t="s">
        <v>1395</v>
      </c>
      <c r="B51" t="s">
        <v>1509</v>
      </c>
      <c r="C51">
        <v>197482083.69999999</v>
      </c>
      <c r="D51">
        <v>8456</v>
      </c>
      <c r="E51">
        <v>23354.078010000001</v>
      </c>
      <c r="F51" t="e">
        <f>VLOOKUP(A51, BIOSIM_REF!$A:$E, 3, FALSE)</f>
        <v>#N/A</v>
      </c>
      <c r="G51" t="e">
        <f>VLOOKUP(A51, BIOSIM_REF!$A:$E, 4, FALSE)</f>
        <v>#N/A</v>
      </c>
      <c r="H51" t="e">
        <f>VLOOKUP(A51, BIOSIM_REF!$A:$E, 5, FALSE)</f>
        <v>#N/A</v>
      </c>
    </row>
    <row r="52" spans="1:8" hidden="1" x14ac:dyDescent="0.25">
      <c r="A52" s="1" t="s">
        <v>1396</v>
      </c>
      <c r="B52" t="s">
        <v>1510</v>
      </c>
      <c r="C52">
        <v>195888958.59999999</v>
      </c>
      <c r="D52">
        <v>19410</v>
      </c>
      <c r="E52">
        <v>10092.16685</v>
      </c>
      <c r="F52" t="e">
        <f>VLOOKUP(A52, BIOSIM_REF!$A:$E, 3, FALSE)</f>
        <v>#N/A</v>
      </c>
      <c r="G52" t="e">
        <f>VLOOKUP(A52, BIOSIM_REF!$A:$E, 4, FALSE)</f>
        <v>#N/A</v>
      </c>
      <c r="H52" t="e">
        <f>VLOOKUP(A52, BIOSIM_REF!$A:$E, 5, FALSE)</f>
        <v>#N/A</v>
      </c>
    </row>
    <row r="53" spans="1:8" hidden="1" x14ac:dyDescent="0.25">
      <c r="A53" s="1" t="s">
        <v>121</v>
      </c>
      <c r="B53" t="s">
        <v>123</v>
      </c>
      <c r="C53">
        <v>182463588.59999999</v>
      </c>
      <c r="D53">
        <v>3501</v>
      </c>
      <c r="E53">
        <v>52117.563150000002</v>
      </c>
      <c r="F53" t="e">
        <f>VLOOKUP(A53, BIOSIM_REF!$A:$E, 3, FALSE)</f>
        <v>#N/A</v>
      </c>
      <c r="G53" t="e">
        <f>VLOOKUP(A53, BIOSIM_REF!$A:$E, 4, FALSE)</f>
        <v>#N/A</v>
      </c>
      <c r="H53" t="e">
        <f>VLOOKUP(A53, BIOSIM_REF!$A:$E, 5, FALSE)</f>
        <v>#N/A</v>
      </c>
    </row>
    <row r="54" spans="1:8" hidden="1" x14ac:dyDescent="0.25">
      <c r="A54" s="1" t="s">
        <v>122</v>
      </c>
      <c r="B54" t="s">
        <v>124</v>
      </c>
      <c r="C54">
        <v>181314390.30000001</v>
      </c>
      <c r="D54">
        <v>41127</v>
      </c>
      <c r="E54">
        <v>4408.6461509999999</v>
      </c>
      <c r="F54" t="e">
        <f>VLOOKUP(A54, BIOSIM_REF!$A:$E, 3, FALSE)</f>
        <v>#N/A</v>
      </c>
      <c r="G54" t="e">
        <f>VLOOKUP(A54, BIOSIM_REF!$A:$E, 4, FALSE)</f>
        <v>#N/A</v>
      </c>
      <c r="H54" t="e">
        <f>VLOOKUP(A54, BIOSIM_REF!$A:$E, 5, FALSE)</f>
        <v>#N/A</v>
      </c>
    </row>
    <row r="55" spans="1:8" hidden="1" x14ac:dyDescent="0.25">
      <c r="A55" s="1" t="s">
        <v>1397</v>
      </c>
      <c r="B55" t="s">
        <v>1511</v>
      </c>
      <c r="C55">
        <v>179470040.90000001</v>
      </c>
      <c r="D55">
        <v>2704</v>
      </c>
      <c r="E55">
        <v>66372.056540000005</v>
      </c>
      <c r="F55" t="e">
        <f>VLOOKUP(A55, BIOSIM_REF!$A:$E, 3, FALSE)</f>
        <v>#N/A</v>
      </c>
      <c r="G55" t="e">
        <f>VLOOKUP(A55, BIOSIM_REF!$A:$E, 4, FALSE)</f>
        <v>#N/A</v>
      </c>
      <c r="H55" t="e">
        <f>VLOOKUP(A55, BIOSIM_REF!$A:$E, 5, FALSE)</f>
        <v>#N/A</v>
      </c>
    </row>
    <row r="56" spans="1:8" hidden="1" x14ac:dyDescent="0.25">
      <c r="A56" s="1" t="s">
        <v>1398</v>
      </c>
      <c r="B56" t="s">
        <v>1512</v>
      </c>
      <c r="C56">
        <v>178638412.80000001</v>
      </c>
      <c r="D56">
        <v>358</v>
      </c>
      <c r="E56">
        <v>498989.97989999998</v>
      </c>
      <c r="F56" t="e">
        <f>VLOOKUP(A56, BIOSIM_REF!$A:$E, 3, FALSE)</f>
        <v>#N/A</v>
      </c>
      <c r="G56" t="e">
        <f>VLOOKUP(A56, BIOSIM_REF!$A:$E, 4, FALSE)</f>
        <v>#N/A</v>
      </c>
      <c r="H56" t="e">
        <f>VLOOKUP(A56, BIOSIM_REF!$A:$E, 5, FALSE)</f>
        <v>#N/A</v>
      </c>
    </row>
    <row r="57" spans="1:8" hidden="1" x14ac:dyDescent="0.25">
      <c r="A57" s="1" t="s">
        <v>126</v>
      </c>
      <c r="B57" t="s">
        <v>127</v>
      </c>
      <c r="C57">
        <v>177670287.30000001</v>
      </c>
      <c r="D57">
        <v>41577</v>
      </c>
      <c r="E57">
        <v>4273.2830000000004</v>
      </c>
      <c r="F57" t="e">
        <f>VLOOKUP(A57, BIOSIM_REF!$A:$E, 3, FALSE)</f>
        <v>#N/A</v>
      </c>
      <c r="G57" t="e">
        <f>VLOOKUP(A57, BIOSIM_REF!$A:$E, 4, FALSE)</f>
        <v>#N/A</v>
      </c>
      <c r="H57" t="e">
        <f>VLOOKUP(A57, BIOSIM_REF!$A:$E, 5, FALSE)</f>
        <v>#N/A</v>
      </c>
    </row>
    <row r="58" spans="1:8" hidden="1" x14ac:dyDescent="0.25">
      <c r="A58" s="1" t="s">
        <v>1399</v>
      </c>
      <c r="B58" t="s">
        <v>1513</v>
      </c>
      <c r="C58">
        <v>177654131.09999999</v>
      </c>
      <c r="D58">
        <v>510</v>
      </c>
      <c r="E58">
        <v>348341.43349999998</v>
      </c>
      <c r="F58" t="e">
        <f>VLOOKUP(A58, BIOSIM_REF!$A:$E, 3, FALSE)</f>
        <v>#N/A</v>
      </c>
      <c r="G58" t="e">
        <f>VLOOKUP(A58, BIOSIM_REF!$A:$E, 4, FALSE)</f>
        <v>#N/A</v>
      </c>
      <c r="H58" t="e">
        <f>VLOOKUP(A58, BIOSIM_REF!$A:$E, 5, FALSE)</f>
        <v>#N/A</v>
      </c>
    </row>
    <row r="59" spans="1:8" hidden="1" x14ac:dyDescent="0.25">
      <c r="A59" s="1" t="s">
        <v>1400</v>
      </c>
      <c r="B59" t="s">
        <v>1514</v>
      </c>
      <c r="C59">
        <v>172471886.30000001</v>
      </c>
      <c r="D59">
        <v>7335</v>
      </c>
      <c r="E59">
        <v>23513.549599999998</v>
      </c>
      <c r="F59" t="e">
        <f>VLOOKUP(A59, BIOSIM_REF!$A:$E, 3, FALSE)</f>
        <v>#N/A</v>
      </c>
      <c r="G59" t="e">
        <f>VLOOKUP(A59, BIOSIM_REF!$A:$E, 4, FALSE)</f>
        <v>#N/A</v>
      </c>
      <c r="H59" t="e">
        <f>VLOOKUP(A59, BIOSIM_REF!$A:$E, 5, FALSE)</f>
        <v>#N/A</v>
      </c>
    </row>
    <row r="60" spans="1:8" hidden="1" x14ac:dyDescent="0.25">
      <c r="A60" s="1" t="s">
        <v>129</v>
      </c>
      <c r="B60" t="s">
        <v>132</v>
      </c>
      <c r="C60">
        <v>164383359.59999999</v>
      </c>
      <c r="D60">
        <v>1660</v>
      </c>
      <c r="E60">
        <v>99026.120219999997</v>
      </c>
      <c r="F60" t="e">
        <f>VLOOKUP(A60, BIOSIM_REF!$A:$E, 3, FALSE)</f>
        <v>#N/A</v>
      </c>
      <c r="G60" t="e">
        <f>VLOOKUP(A60, BIOSIM_REF!$A:$E, 4, FALSE)</f>
        <v>#N/A</v>
      </c>
      <c r="H60" t="e">
        <f>VLOOKUP(A60, BIOSIM_REF!$A:$E, 5, FALSE)</f>
        <v>#N/A</v>
      </c>
    </row>
    <row r="61" spans="1:8" hidden="1" x14ac:dyDescent="0.25">
      <c r="A61" s="1" t="s">
        <v>130</v>
      </c>
      <c r="B61" t="s">
        <v>133</v>
      </c>
      <c r="C61">
        <v>161942227.69999999</v>
      </c>
      <c r="D61">
        <v>96072</v>
      </c>
      <c r="E61">
        <v>1685.6339800000001</v>
      </c>
      <c r="F61" t="e">
        <f>VLOOKUP(A61, BIOSIM_REF!$A:$E, 3, FALSE)</f>
        <v>#N/A</v>
      </c>
      <c r="G61" t="e">
        <f>VLOOKUP(A61, BIOSIM_REF!$A:$E, 4, FALSE)</f>
        <v>#N/A</v>
      </c>
      <c r="H61" t="e">
        <f>VLOOKUP(A61, BIOSIM_REF!$A:$E, 5, FALSE)</f>
        <v>#N/A</v>
      </c>
    </row>
    <row r="62" spans="1:8" hidden="1" x14ac:dyDescent="0.25">
      <c r="A62" s="1" t="s">
        <v>131</v>
      </c>
      <c r="B62" t="s">
        <v>134</v>
      </c>
      <c r="C62">
        <v>160197748.5</v>
      </c>
      <c r="D62">
        <v>907</v>
      </c>
      <c r="E62">
        <v>176623.758</v>
      </c>
      <c r="F62" t="e">
        <f>VLOOKUP(A62, BIOSIM_REF!$A:$E, 3, FALSE)</f>
        <v>#N/A</v>
      </c>
      <c r="G62" t="e">
        <f>VLOOKUP(A62, BIOSIM_REF!$A:$E, 4, FALSE)</f>
        <v>#N/A</v>
      </c>
      <c r="H62" t="e">
        <f>VLOOKUP(A62, BIOSIM_REF!$A:$E, 5, FALSE)</f>
        <v>#N/A</v>
      </c>
    </row>
    <row r="63" spans="1:8" x14ac:dyDescent="0.25">
      <c r="A63" s="2" t="s">
        <v>1319</v>
      </c>
      <c r="B63" s="3" t="s">
        <v>1574</v>
      </c>
      <c r="C63" s="3">
        <v>7706641.6799999997</v>
      </c>
      <c r="D63" s="3">
        <v>329</v>
      </c>
      <c r="E63" s="3">
        <v>23424.442800000001</v>
      </c>
      <c r="F63" s="3" t="str">
        <f>VLOOKUP(A63, BIOSIM_REF!$A:$E, 3, FALSE)</f>
        <v>N</v>
      </c>
      <c r="G63" s="3" t="str">
        <f>VLOOKUP(A63, BIOSIM_REF!$A:$E, 4, FALSE)</f>
        <v>HERCEPTIN</v>
      </c>
      <c r="H63" s="3" t="str">
        <f>VLOOKUP(A63, BIOSIM_REF!$A:$E, 5, FALSE)</f>
        <v>Y</v>
      </c>
    </row>
    <row r="64" spans="1:8" x14ac:dyDescent="0.25">
      <c r="A64" s="2" t="s">
        <v>31</v>
      </c>
      <c r="B64" s="3" t="s">
        <v>38</v>
      </c>
      <c r="C64" s="3">
        <v>519022697</v>
      </c>
      <c r="D64" s="3">
        <v>57642</v>
      </c>
      <c r="E64" s="3">
        <v>9004.2451160000001</v>
      </c>
      <c r="F64" s="3" t="str">
        <f>VLOOKUP(A64, BIOSIM_REF!$A:$E, 3, FALSE)</f>
        <v>Y</v>
      </c>
      <c r="G64" s="3" t="str">
        <f>VLOOKUP(A64, BIOSIM_REF!$A:$E, 4, FALSE)</f>
        <v>NEULASTA</v>
      </c>
      <c r="H64" s="3" t="str">
        <f>VLOOKUP(A64, BIOSIM_REF!$A:$E, 5, FALSE)</f>
        <v>N</v>
      </c>
    </row>
    <row r="65" spans="1:8" hidden="1" x14ac:dyDescent="0.25">
      <c r="A65" s="1" t="s">
        <v>138</v>
      </c>
      <c r="B65" t="s">
        <v>140</v>
      </c>
      <c r="C65">
        <v>156744155.69999999</v>
      </c>
      <c r="D65">
        <v>32751</v>
      </c>
      <c r="E65">
        <v>4785.9349540000003</v>
      </c>
      <c r="F65" t="e">
        <f>VLOOKUP(A65, BIOSIM_REF!$A:$E, 3, FALSE)</f>
        <v>#N/A</v>
      </c>
      <c r="G65" t="e">
        <f>VLOOKUP(A65, BIOSIM_REF!$A:$E, 4, FALSE)</f>
        <v>#N/A</v>
      </c>
      <c r="H65" t="e">
        <f>VLOOKUP(A65, BIOSIM_REF!$A:$E, 5, FALSE)</f>
        <v>#N/A</v>
      </c>
    </row>
    <row r="66" spans="1:8" hidden="1" x14ac:dyDescent="0.25">
      <c r="A66" s="1" t="s">
        <v>139</v>
      </c>
      <c r="B66" t="s">
        <v>141</v>
      </c>
      <c r="C66">
        <v>155903547.59999999</v>
      </c>
      <c r="D66">
        <v>1058</v>
      </c>
      <c r="E66">
        <v>147356.85029999999</v>
      </c>
      <c r="F66" t="e">
        <f>VLOOKUP(A66, BIOSIM_REF!$A:$E, 3, FALSE)</f>
        <v>#N/A</v>
      </c>
      <c r="G66" t="e">
        <f>VLOOKUP(A66, BIOSIM_REF!$A:$E, 4, FALSE)</f>
        <v>#N/A</v>
      </c>
      <c r="H66" t="e">
        <f>VLOOKUP(A66, BIOSIM_REF!$A:$E, 5, FALSE)</f>
        <v>#N/A</v>
      </c>
    </row>
    <row r="67" spans="1:8" hidden="1" x14ac:dyDescent="0.25">
      <c r="A67" s="1" t="s">
        <v>1401</v>
      </c>
      <c r="B67" t="s">
        <v>1517</v>
      </c>
      <c r="C67">
        <v>154355577.09999999</v>
      </c>
      <c r="D67">
        <v>1664</v>
      </c>
      <c r="E67">
        <v>92761.765090000001</v>
      </c>
      <c r="F67" t="e">
        <f>VLOOKUP(A67, BIOSIM_REF!$A:$E, 3, FALSE)</f>
        <v>#N/A</v>
      </c>
      <c r="G67" t="e">
        <f>VLOOKUP(A67, BIOSIM_REF!$A:$E, 4, FALSE)</f>
        <v>#N/A</v>
      </c>
      <c r="H67" t="e">
        <f>VLOOKUP(A67, BIOSIM_REF!$A:$E, 5, FALSE)</f>
        <v>#N/A</v>
      </c>
    </row>
    <row r="68" spans="1:8" hidden="1" x14ac:dyDescent="0.25">
      <c r="A68" s="1" t="s">
        <v>144</v>
      </c>
      <c r="B68" t="s">
        <v>145</v>
      </c>
      <c r="C68">
        <v>153583746.69999999</v>
      </c>
      <c r="D68">
        <v>1136</v>
      </c>
      <c r="E68">
        <v>135196.9601</v>
      </c>
      <c r="F68" t="e">
        <f>VLOOKUP(A68, BIOSIM_REF!$A:$E, 3, FALSE)</f>
        <v>#N/A</v>
      </c>
      <c r="G68" t="e">
        <f>VLOOKUP(A68, BIOSIM_REF!$A:$E, 4, FALSE)</f>
        <v>#N/A</v>
      </c>
      <c r="H68" t="e">
        <f>VLOOKUP(A68, BIOSIM_REF!$A:$E, 5, FALSE)</f>
        <v>#N/A</v>
      </c>
    </row>
    <row r="69" spans="1:8" hidden="1" x14ac:dyDescent="0.25">
      <c r="A69" s="1" t="s">
        <v>1402</v>
      </c>
      <c r="B69" t="s">
        <v>1518</v>
      </c>
      <c r="C69">
        <v>144583755.69999999</v>
      </c>
      <c r="D69">
        <v>3590</v>
      </c>
      <c r="E69">
        <v>40274.026660000003</v>
      </c>
      <c r="F69" t="e">
        <f>VLOOKUP(A69, BIOSIM_REF!$A:$E, 3, FALSE)</f>
        <v>#N/A</v>
      </c>
      <c r="G69" t="e">
        <f>VLOOKUP(A69, BIOSIM_REF!$A:$E, 4, FALSE)</f>
        <v>#N/A</v>
      </c>
      <c r="H69" t="e">
        <f>VLOOKUP(A69, BIOSIM_REF!$A:$E, 5, FALSE)</f>
        <v>#N/A</v>
      </c>
    </row>
    <row r="70" spans="1:8" hidden="1" x14ac:dyDescent="0.25">
      <c r="A70" s="1">
        <v>90732</v>
      </c>
      <c r="B70" t="s">
        <v>149</v>
      </c>
      <c r="C70">
        <v>142689613.90000001</v>
      </c>
      <c r="D70">
        <v>1200530</v>
      </c>
      <c r="E70">
        <v>118.8555171</v>
      </c>
      <c r="F70" t="e">
        <f>VLOOKUP(A70, BIOSIM_REF!$A:$E, 3, FALSE)</f>
        <v>#N/A</v>
      </c>
      <c r="G70" t="e">
        <f>VLOOKUP(A70, BIOSIM_REF!$A:$E, 4, FALSE)</f>
        <v>#N/A</v>
      </c>
      <c r="H70" t="e">
        <f>VLOOKUP(A70, BIOSIM_REF!$A:$E, 5, FALSE)</f>
        <v>#N/A</v>
      </c>
    </row>
    <row r="71" spans="1:8" hidden="1" x14ac:dyDescent="0.25">
      <c r="A71" s="1" t="s">
        <v>147</v>
      </c>
      <c r="B71" t="s">
        <v>150</v>
      </c>
      <c r="C71">
        <v>141653448.30000001</v>
      </c>
      <c r="D71">
        <v>3146</v>
      </c>
      <c r="E71">
        <v>45026.525199999996</v>
      </c>
      <c r="F71" t="e">
        <f>VLOOKUP(A71, BIOSIM_REF!$A:$E, 3, FALSE)</f>
        <v>#N/A</v>
      </c>
      <c r="G71" t="e">
        <f>VLOOKUP(A71, BIOSIM_REF!$A:$E, 4, FALSE)</f>
        <v>#N/A</v>
      </c>
      <c r="H71" t="e">
        <f>VLOOKUP(A71, BIOSIM_REF!$A:$E, 5, FALSE)</f>
        <v>#N/A</v>
      </c>
    </row>
    <row r="72" spans="1:8" hidden="1" x14ac:dyDescent="0.25">
      <c r="A72" s="1" t="s">
        <v>148</v>
      </c>
      <c r="B72" t="s">
        <v>151</v>
      </c>
      <c r="C72">
        <v>138532657.5</v>
      </c>
      <c r="D72">
        <v>3960</v>
      </c>
      <c r="E72">
        <v>34982.994330000001</v>
      </c>
      <c r="F72" t="e">
        <f>VLOOKUP(A72, BIOSIM_REF!$A:$E, 3, FALSE)</f>
        <v>#N/A</v>
      </c>
      <c r="G72" t="e">
        <f>VLOOKUP(A72, BIOSIM_REF!$A:$E, 4, FALSE)</f>
        <v>#N/A</v>
      </c>
      <c r="H72" t="e">
        <f>VLOOKUP(A72, BIOSIM_REF!$A:$E, 5, FALSE)</f>
        <v>#N/A</v>
      </c>
    </row>
    <row r="73" spans="1:8" hidden="1" x14ac:dyDescent="0.25">
      <c r="A73" s="1" t="s">
        <v>1403</v>
      </c>
      <c r="B73" t="s">
        <v>1519</v>
      </c>
      <c r="C73">
        <v>138164554.59999999</v>
      </c>
      <c r="D73">
        <v>24246</v>
      </c>
      <c r="E73">
        <v>5698.4473539999999</v>
      </c>
      <c r="F73" t="e">
        <f>VLOOKUP(A73, BIOSIM_REF!$A:$E, 3, FALSE)</f>
        <v>#N/A</v>
      </c>
      <c r="G73" t="e">
        <f>VLOOKUP(A73, BIOSIM_REF!$A:$E, 4, FALSE)</f>
        <v>#N/A</v>
      </c>
      <c r="H73" t="e">
        <f>VLOOKUP(A73, BIOSIM_REF!$A:$E, 5, FALSE)</f>
        <v>#N/A</v>
      </c>
    </row>
    <row r="74" spans="1:8" hidden="1" x14ac:dyDescent="0.25">
      <c r="A74" s="1" t="s">
        <v>155</v>
      </c>
      <c r="B74" t="s">
        <v>161</v>
      </c>
      <c r="C74">
        <v>137669766.80000001</v>
      </c>
      <c r="D74">
        <v>4694</v>
      </c>
      <c r="E74">
        <v>29328.880880000001</v>
      </c>
      <c r="F74" t="e">
        <f>VLOOKUP(A74, BIOSIM_REF!$A:$E, 3, FALSE)</f>
        <v>#N/A</v>
      </c>
      <c r="G74" t="e">
        <f>VLOOKUP(A74, BIOSIM_REF!$A:$E, 4, FALSE)</f>
        <v>#N/A</v>
      </c>
      <c r="H74" t="e">
        <f>VLOOKUP(A74, BIOSIM_REF!$A:$E, 5, FALSE)</f>
        <v>#N/A</v>
      </c>
    </row>
    <row r="75" spans="1:8" hidden="1" x14ac:dyDescent="0.25">
      <c r="A75" s="1" t="s">
        <v>156</v>
      </c>
      <c r="B75" t="s">
        <v>162</v>
      </c>
      <c r="C75">
        <v>131961555.8</v>
      </c>
      <c r="D75">
        <v>557917</v>
      </c>
      <c r="E75">
        <v>236.52542550000001</v>
      </c>
      <c r="F75" t="e">
        <f>VLOOKUP(A75, BIOSIM_REF!$A:$E, 3, FALSE)</f>
        <v>#N/A</v>
      </c>
      <c r="G75" t="e">
        <f>VLOOKUP(A75, BIOSIM_REF!$A:$E, 4, FALSE)</f>
        <v>#N/A</v>
      </c>
      <c r="H75" t="e">
        <f>VLOOKUP(A75, BIOSIM_REF!$A:$E, 5, FALSE)</f>
        <v>#N/A</v>
      </c>
    </row>
    <row r="76" spans="1:8" hidden="1" x14ac:dyDescent="0.25">
      <c r="A76" s="1" t="s">
        <v>157</v>
      </c>
      <c r="B76" t="s">
        <v>163</v>
      </c>
      <c r="C76">
        <v>131017582.5</v>
      </c>
      <c r="D76">
        <v>32212</v>
      </c>
      <c r="E76">
        <v>4067.3532380000001</v>
      </c>
      <c r="F76" t="e">
        <f>VLOOKUP(A76, BIOSIM_REF!$A:$E, 3, FALSE)</f>
        <v>#N/A</v>
      </c>
      <c r="G76" t="e">
        <f>VLOOKUP(A76, BIOSIM_REF!$A:$E, 4, FALSE)</f>
        <v>#N/A</v>
      </c>
      <c r="H76" t="e">
        <f>VLOOKUP(A76, BIOSIM_REF!$A:$E, 5, FALSE)</f>
        <v>#N/A</v>
      </c>
    </row>
    <row r="77" spans="1:8" hidden="1" x14ac:dyDescent="0.25">
      <c r="A77" s="1">
        <v>90670</v>
      </c>
      <c r="B77" t="s">
        <v>164</v>
      </c>
      <c r="C77">
        <v>129033793.8</v>
      </c>
      <c r="D77">
        <v>555013</v>
      </c>
      <c r="E77">
        <v>232.4878765</v>
      </c>
      <c r="F77" t="e">
        <f>VLOOKUP(A77, BIOSIM_REF!$A:$E, 3, FALSE)</f>
        <v>#N/A</v>
      </c>
      <c r="G77" t="e">
        <f>VLOOKUP(A77, BIOSIM_REF!$A:$E, 4, FALSE)</f>
        <v>#N/A</v>
      </c>
      <c r="H77" t="e">
        <f>VLOOKUP(A77, BIOSIM_REF!$A:$E, 5, FALSE)</f>
        <v>#N/A</v>
      </c>
    </row>
    <row r="78" spans="1:8" hidden="1" x14ac:dyDescent="0.25">
      <c r="A78" s="1" t="s">
        <v>158</v>
      </c>
      <c r="B78" t="s">
        <v>165</v>
      </c>
      <c r="C78">
        <v>120158191.3</v>
      </c>
      <c r="D78">
        <v>6368</v>
      </c>
      <c r="E78">
        <v>18869.062709999998</v>
      </c>
      <c r="F78" t="e">
        <f>VLOOKUP(A78, BIOSIM_REF!$A:$E, 3, FALSE)</f>
        <v>#N/A</v>
      </c>
      <c r="G78" t="e">
        <f>VLOOKUP(A78, BIOSIM_REF!$A:$E, 4, FALSE)</f>
        <v>#N/A</v>
      </c>
      <c r="H78" t="e">
        <f>VLOOKUP(A78, BIOSIM_REF!$A:$E, 5, FALSE)</f>
        <v>#N/A</v>
      </c>
    </row>
    <row r="79" spans="1:8" hidden="1" x14ac:dyDescent="0.25">
      <c r="A79" s="1" t="s">
        <v>159</v>
      </c>
      <c r="B79" t="s">
        <v>166</v>
      </c>
      <c r="C79">
        <v>116423797</v>
      </c>
      <c r="D79">
        <v>3186</v>
      </c>
      <c r="E79">
        <v>36542.309150000001</v>
      </c>
      <c r="F79" t="e">
        <f>VLOOKUP(A79, BIOSIM_REF!$A:$E, 3, FALSE)</f>
        <v>#N/A</v>
      </c>
      <c r="G79" t="e">
        <f>VLOOKUP(A79, BIOSIM_REF!$A:$E, 4, FALSE)</f>
        <v>#N/A</v>
      </c>
      <c r="H79" t="e">
        <f>VLOOKUP(A79, BIOSIM_REF!$A:$E, 5, FALSE)</f>
        <v>#N/A</v>
      </c>
    </row>
    <row r="80" spans="1:8" hidden="1" x14ac:dyDescent="0.25">
      <c r="A80" s="1" t="s">
        <v>160</v>
      </c>
      <c r="B80" t="s">
        <v>167</v>
      </c>
      <c r="C80">
        <v>111472532.09999999</v>
      </c>
      <c r="D80">
        <v>1399</v>
      </c>
      <c r="E80">
        <v>79680.151639999996</v>
      </c>
      <c r="F80" t="e">
        <f>VLOOKUP(A80, BIOSIM_REF!$A:$E, 3, FALSE)</f>
        <v>#N/A</v>
      </c>
      <c r="G80" t="e">
        <f>VLOOKUP(A80, BIOSIM_REF!$A:$E, 4, FALSE)</f>
        <v>#N/A</v>
      </c>
      <c r="H80" t="e">
        <f>VLOOKUP(A80, BIOSIM_REF!$A:$E, 5, FALSE)</f>
        <v>#N/A</v>
      </c>
    </row>
    <row r="81" spans="1:8" hidden="1" x14ac:dyDescent="0.25">
      <c r="A81" s="1" t="s">
        <v>1404</v>
      </c>
      <c r="B81" t="s">
        <v>1520</v>
      </c>
      <c r="C81">
        <v>109118974.40000001</v>
      </c>
      <c r="D81">
        <v>1904</v>
      </c>
      <c r="E81">
        <v>57310.385710000002</v>
      </c>
      <c r="F81" t="e">
        <f>VLOOKUP(A81, BIOSIM_REF!$A:$E, 3, FALSE)</f>
        <v>#N/A</v>
      </c>
      <c r="G81" t="e">
        <f>VLOOKUP(A81, BIOSIM_REF!$A:$E, 4, FALSE)</f>
        <v>#N/A</v>
      </c>
      <c r="H81" t="e">
        <f>VLOOKUP(A81, BIOSIM_REF!$A:$E, 5, FALSE)</f>
        <v>#N/A</v>
      </c>
    </row>
    <row r="82" spans="1:8" hidden="1" x14ac:dyDescent="0.25">
      <c r="A82" s="1" t="s">
        <v>174</v>
      </c>
      <c r="B82" t="s">
        <v>180</v>
      </c>
      <c r="C82">
        <v>102552113</v>
      </c>
      <c r="D82">
        <v>13838</v>
      </c>
      <c r="E82">
        <v>7410.9056950000004</v>
      </c>
      <c r="F82" t="e">
        <f>VLOOKUP(A82, BIOSIM_REF!$A:$E, 3, FALSE)</f>
        <v>#N/A</v>
      </c>
      <c r="G82" t="e">
        <f>VLOOKUP(A82, BIOSIM_REF!$A:$E, 4, FALSE)</f>
        <v>#N/A</v>
      </c>
      <c r="H82" t="e">
        <f>VLOOKUP(A82, BIOSIM_REF!$A:$E, 5, FALSE)</f>
        <v>#N/A</v>
      </c>
    </row>
    <row r="83" spans="1:8" hidden="1" x14ac:dyDescent="0.25">
      <c r="A83" s="1" t="s">
        <v>175</v>
      </c>
      <c r="B83" t="s">
        <v>181</v>
      </c>
      <c r="C83">
        <v>102382337.09999999</v>
      </c>
      <c r="D83">
        <v>3406</v>
      </c>
      <c r="E83">
        <v>30059.406080000001</v>
      </c>
      <c r="F83" t="e">
        <f>VLOOKUP(A83, BIOSIM_REF!$A:$E, 3, FALSE)</f>
        <v>#N/A</v>
      </c>
      <c r="G83" t="e">
        <f>VLOOKUP(A83, BIOSIM_REF!$A:$E, 4, FALSE)</f>
        <v>#N/A</v>
      </c>
      <c r="H83" t="e">
        <f>VLOOKUP(A83, BIOSIM_REF!$A:$E, 5, FALSE)</f>
        <v>#N/A</v>
      </c>
    </row>
    <row r="84" spans="1:8" hidden="1" x14ac:dyDescent="0.25">
      <c r="A84" s="1" t="s">
        <v>176</v>
      </c>
      <c r="B84" t="s">
        <v>182</v>
      </c>
      <c r="C84">
        <v>102319393.2</v>
      </c>
      <c r="D84">
        <v>623</v>
      </c>
      <c r="E84">
        <v>164236.58619999999</v>
      </c>
      <c r="F84" t="e">
        <f>VLOOKUP(A84, BIOSIM_REF!$A:$E, 3, FALSE)</f>
        <v>#N/A</v>
      </c>
      <c r="G84" t="e">
        <f>VLOOKUP(A84, BIOSIM_REF!$A:$E, 4, FALSE)</f>
        <v>#N/A</v>
      </c>
      <c r="H84" t="e">
        <f>VLOOKUP(A84, BIOSIM_REF!$A:$E, 5, FALSE)</f>
        <v>#N/A</v>
      </c>
    </row>
    <row r="85" spans="1:8" hidden="1" x14ac:dyDescent="0.25">
      <c r="A85" s="1" t="s">
        <v>177</v>
      </c>
      <c r="B85" t="s">
        <v>183</v>
      </c>
      <c r="C85">
        <v>100065715.7</v>
      </c>
      <c r="D85">
        <v>2525</v>
      </c>
      <c r="E85">
        <v>39629.986420000001</v>
      </c>
      <c r="F85" t="e">
        <f>VLOOKUP(A85, BIOSIM_REF!$A:$E, 3, FALSE)</f>
        <v>#N/A</v>
      </c>
      <c r="G85" t="e">
        <f>VLOOKUP(A85, BIOSIM_REF!$A:$E, 4, FALSE)</f>
        <v>#N/A</v>
      </c>
      <c r="H85" t="e">
        <f>VLOOKUP(A85, BIOSIM_REF!$A:$E, 5, FALSE)</f>
        <v>#N/A</v>
      </c>
    </row>
    <row r="86" spans="1:8" hidden="1" x14ac:dyDescent="0.25">
      <c r="A86" s="1" t="s">
        <v>178</v>
      </c>
      <c r="B86" t="s">
        <v>184</v>
      </c>
      <c r="C86">
        <v>99529826.370000005</v>
      </c>
      <c r="D86">
        <v>19829</v>
      </c>
      <c r="E86">
        <v>5019.4072509999996</v>
      </c>
      <c r="F86" t="e">
        <f>VLOOKUP(A86, BIOSIM_REF!$A:$E, 3, FALSE)</f>
        <v>#N/A</v>
      </c>
      <c r="G86" t="e">
        <f>VLOOKUP(A86, BIOSIM_REF!$A:$E, 4, FALSE)</f>
        <v>#N/A</v>
      </c>
      <c r="H86" t="e">
        <f>VLOOKUP(A86, BIOSIM_REF!$A:$E, 5, FALSE)</f>
        <v>#N/A</v>
      </c>
    </row>
    <row r="87" spans="1:8" hidden="1" x14ac:dyDescent="0.25">
      <c r="A87" s="1" t="s">
        <v>179</v>
      </c>
      <c r="B87" t="s">
        <v>185</v>
      </c>
      <c r="C87">
        <v>97730345.810000002</v>
      </c>
      <c r="D87">
        <v>1554</v>
      </c>
      <c r="E87">
        <v>62889.540419999998</v>
      </c>
      <c r="F87" t="e">
        <f>VLOOKUP(A87, BIOSIM_REF!$A:$E, 3, FALSE)</f>
        <v>#N/A</v>
      </c>
      <c r="G87" t="e">
        <f>VLOOKUP(A87, BIOSIM_REF!$A:$E, 4, FALSE)</f>
        <v>#N/A</v>
      </c>
      <c r="H87" t="e">
        <f>VLOOKUP(A87, BIOSIM_REF!$A:$E, 5, FALSE)</f>
        <v>#N/A</v>
      </c>
    </row>
    <row r="88" spans="1:8" hidden="1" x14ac:dyDescent="0.25">
      <c r="A88" s="1" t="s">
        <v>1405</v>
      </c>
      <c r="B88" t="s">
        <v>1521</v>
      </c>
      <c r="C88">
        <v>96029680.510000005</v>
      </c>
      <c r="D88">
        <v>1376</v>
      </c>
      <c r="E88">
        <v>69789.012000000002</v>
      </c>
      <c r="F88" t="e">
        <f>VLOOKUP(A88, BIOSIM_REF!$A:$E, 3, FALSE)</f>
        <v>#N/A</v>
      </c>
      <c r="G88" t="e">
        <f>VLOOKUP(A88, BIOSIM_REF!$A:$E, 4, FALSE)</f>
        <v>#N/A</v>
      </c>
      <c r="H88" t="e">
        <f>VLOOKUP(A88, BIOSIM_REF!$A:$E, 5, FALSE)</f>
        <v>#N/A</v>
      </c>
    </row>
    <row r="89" spans="1:8" hidden="1" x14ac:dyDescent="0.25">
      <c r="A89" s="1" t="s">
        <v>1406</v>
      </c>
      <c r="B89" t="s">
        <v>1522</v>
      </c>
      <c r="C89">
        <v>88260767.989999995</v>
      </c>
      <c r="D89">
        <v>1878</v>
      </c>
      <c r="E89">
        <v>46997.214050000002</v>
      </c>
      <c r="F89" t="e">
        <f>VLOOKUP(A89, BIOSIM_REF!$A:$E, 3, FALSE)</f>
        <v>#N/A</v>
      </c>
      <c r="G89" t="e">
        <f>VLOOKUP(A89, BIOSIM_REF!$A:$E, 4, FALSE)</f>
        <v>#N/A</v>
      </c>
      <c r="H89" t="e">
        <f>VLOOKUP(A89, BIOSIM_REF!$A:$E, 5, FALSE)</f>
        <v>#N/A</v>
      </c>
    </row>
    <row r="90" spans="1:8" x14ac:dyDescent="0.25">
      <c r="A90" s="2" t="s">
        <v>1335</v>
      </c>
      <c r="B90" s="3" t="s">
        <v>1515</v>
      </c>
      <c r="C90" s="3">
        <v>160042879.69999999</v>
      </c>
      <c r="D90" s="3">
        <v>15627</v>
      </c>
      <c r="E90" s="3">
        <v>10241.4334</v>
      </c>
      <c r="F90" s="3" t="str">
        <f>VLOOKUP(A90, BIOSIM_REF!$A:$E, 3, FALSE)</f>
        <v>N</v>
      </c>
      <c r="G90" s="3" t="str">
        <f>VLOOKUP(A90, BIOSIM_REF!$A:$E, 4, FALSE)</f>
        <v>NEULASTA</v>
      </c>
      <c r="H90" s="3" t="str">
        <f>VLOOKUP(A90, BIOSIM_REF!$A:$E, 5, FALSE)</f>
        <v>Y</v>
      </c>
    </row>
    <row r="91" spans="1:8" hidden="1" x14ac:dyDescent="0.25">
      <c r="A91" s="1" t="s">
        <v>192</v>
      </c>
      <c r="B91" t="s">
        <v>193</v>
      </c>
      <c r="C91">
        <v>86557906.390000001</v>
      </c>
      <c r="D91">
        <v>75175</v>
      </c>
      <c r="E91">
        <v>1151.4187750000001</v>
      </c>
      <c r="F91" t="e">
        <f>VLOOKUP(A91, BIOSIM_REF!$A:$E, 3, FALSE)</f>
        <v>#N/A</v>
      </c>
      <c r="G91" t="e">
        <f>VLOOKUP(A91, BIOSIM_REF!$A:$E, 4, FALSE)</f>
        <v>#N/A</v>
      </c>
      <c r="H91" t="e">
        <f>VLOOKUP(A91, BIOSIM_REF!$A:$E, 5, FALSE)</f>
        <v>#N/A</v>
      </c>
    </row>
    <row r="92" spans="1:8" x14ac:dyDescent="0.25">
      <c r="A92" s="2" t="s">
        <v>1343</v>
      </c>
      <c r="B92" s="3" t="s">
        <v>1524</v>
      </c>
      <c r="C92" s="3">
        <v>85195357.75</v>
      </c>
      <c r="D92" s="3">
        <v>7991</v>
      </c>
      <c r="E92" s="3">
        <v>10661.41381</v>
      </c>
      <c r="F92" s="3" t="str">
        <f>VLOOKUP(A92, BIOSIM_REF!$A:$E, 3, FALSE)</f>
        <v>N</v>
      </c>
      <c r="G92" s="3" t="str">
        <f>VLOOKUP(A92, BIOSIM_REF!$A:$E, 4, FALSE)</f>
        <v>NEULASTA</v>
      </c>
      <c r="H92" s="3" t="str">
        <f>VLOOKUP(A92, BIOSIM_REF!$A:$E, 5, FALSE)</f>
        <v>Y</v>
      </c>
    </row>
    <row r="93" spans="1:8" hidden="1" x14ac:dyDescent="0.25">
      <c r="A93" s="1" t="s">
        <v>1407</v>
      </c>
      <c r="B93" t="s">
        <v>1525</v>
      </c>
      <c r="C93">
        <v>82896518.890000001</v>
      </c>
      <c r="D93">
        <v>279</v>
      </c>
      <c r="E93">
        <v>297120.13939999999</v>
      </c>
      <c r="F93" t="e">
        <f>VLOOKUP(A93, BIOSIM_REF!$A:$E, 3, FALSE)</f>
        <v>#N/A</v>
      </c>
      <c r="G93" t="e">
        <f>VLOOKUP(A93, BIOSIM_REF!$A:$E, 4, FALSE)</f>
        <v>#N/A</v>
      </c>
      <c r="H93" t="e">
        <f>VLOOKUP(A93, BIOSIM_REF!$A:$E, 5, FALSE)</f>
        <v>#N/A</v>
      </c>
    </row>
    <row r="94" spans="1:8" hidden="1" x14ac:dyDescent="0.25">
      <c r="A94" s="1" t="s">
        <v>1408</v>
      </c>
      <c r="B94" t="s">
        <v>1526</v>
      </c>
      <c r="C94">
        <v>81924221.420000002</v>
      </c>
      <c r="D94">
        <v>1359</v>
      </c>
      <c r="E94">
        <v>60282.723639999997</v>
      </c>
      <c r="F94" t="e">
        <f>VLOOKUP(A94, BIOSIM_REF!$A:$E, 3, FALSE)</f>
        <v>#N/A</v>
      </c>
      <c r="G94" t="e">
        <f>VLOOKUP(A94, BIOSIM_REF!$A:$E, 4, FALSE)</f>
        <v>#N/A</v>
      </c>
      <c r="H94" t="e">
        <f>VLOOKUP(A94, BIOSIM_REF!$A:$E, 5, FALSE)</f>
        <v>#N/A</v>
      </c>
    </row>
    <row r="95" spans="1:8" hidden="1" x14ac:dyDescent="0.25">
      <c r="A95" s="1" t="s">
        <v>1409</v>
      </c>
      <c r="B95" t="s">
        <v>1527</v>
      </c>
      <c r="C95">
        <v>79095180.379999995</v>
      </c>
      <c r="D95">
        <v>1323</v>
      </c>
      <c r="E95">
        <v>59784.716840000001</v>
      </c>
      <c r="F95" t="e">
        <f>VLOOKUP(A95, BIOSIM_REF!$A:$E, 3, FALSE)</f>
        <v>#N/A</v>
      </c>
      <c r="G95" t="e">
        <f>VLOOKUP(A95, BIOSIM_REF!$A:$E, 4, FALSE)</f>
        <v>#N/A</v>
      </c>
      <c r="H95" t="e">
        <f>VLOOKUP(A95, BIOSIM_REF!$A:$E, 5, FALSE)</f>
        <v>#N/A</v>
      </c>
    </row>
    <row r="96" spans="1:8" hidden="1" x14ac:dyDescent="0.25">
      <c r="A96" s="1" t="s">
        <v>195</v>
      </c>
      <c r="B96" t="s">
        <v>196</v>
      </c>
      <c r="C96">
        <v>75697918.430000007</v>
      </c>
      <c r="D96">
        <v>32505</v>
      </c>
      <c r="E96">
        <v>2328.8084429999999</v>
      </c>
      <c r="F96" t="e">
        <f>VLOOKUP(A96, BIOSIM_REF!$A:$E, 3, FALSE)</f>
        <v>#N/A</v>
      </c>
      <c r="G96" t="e">
        <f>VLOOKUP(A96, BIOSIM_REF!$A:$E, 4, FALSE)</f>
        <v>#N/A</v>
      </c>
      <c r="H96" t="e">
        <f>VLOOKUP(A96, BIOSIM_REF!$A:$E, 5, FALSE)</f>
        <v>#N/A</v>
      </c>
    </row>
    <row r="97" spans="1:8" x14ac:dyDescent="0.25">
      <c r="A97" s="2" t="s">
        <v>1331</v>
      </c>
      <c r="B97" s="3" t="s">
        <v>1528</v>
      </c>
      <c r="C97" s="3">
        <v>75403320.909999996</v>
      </c>
      <c r="D97" s="3">
        <v>8069</v>
      </c>
      <c r="E97" s="3">
        <v>9344.8160750000006</v>
      </c>
      <c r="F97" s="3" t="str">
        <f>VLOOKUP(A97, BIOSIM_REF!$A:$E, 3, FALSE)</f>
        <v>N</v>
      </c>
      <c r="G97" s="3" t="str">
        <f>VLOOKUP(A97, BIOSIM_REF!$A:$E, 4, FALSE)</f>
        <v>NEULASTA</v>
      </c>
      <c r="H97" s="3" t="str">
        <f>VLOOKUP(A97, BIOSIM_REF!$A:$E, 5, FALSE)</f>
        <v>Y</v>
      </c>
    </row>
    <row r="98" spans="1:8" hidden="1" x14ac:dyDescent="0.25">
      <c r="A98" s="1" t="s">
        <v>198</v>
      </c>
      <c r="B98" t="s">
        <v>199</v>
      </c>
      <c r="C98">
        <v>74281398.689999998</v>
      </c>
      <c r="D98">
        <v>5174</v>
      </c>
      <c r="E98">
        <v>14356.6677</v>
      </c>
      <c r="F98" t="e">
        <f>VLOOKUP(A98, BIOSIM_REF!$A:$E, 3, FALSE)</f>
        <v>#N/A</v>
      </c>
      <c r="G98" t="e">
        <f>VLOOKUP(A98, BIOSIM_REF!$A:$E, 4, FALSE)</f>
        <v>#N/A</v>
      </c>
      <c r="H98" t="e">
        <f>VLOOKUP(A98, BIOSIM_REF!$A:$E, 5, FALSE)</f>
        <v>#N/A</v>
      </c>
    </row>
    <row r="99" spans="1:8" x14ac:dyDescent="0.25">
      <c r="A99" s="2" t="s">
        <v>1333</v>
      </c>
      <c r="B99" s="3" t="s">
        <v>1546</v>
      </c>
      <c r="C99" s="3">
        <v>26671090.620000001</v>
      </c>
      <c r="D99" s="3">
        <v>2086</v>
      </c>
      <c r="E99" s="3">
        <v>12785.757729999999</v>
      </c>
      <c r="F99" s="3" t="str">
        <f>VLOOKUP(A99, BIOSIM_REF!$A:$E, 3, FALSE)</f>
        <v>N</v>
      </c>
      <c r="G99" s="3" t="str">
        <f>VLOOKUP(A99, BIOSIM_REF!$A:$E, 4, FALSE)</f>
        <v>NEULASTA</v>
      </c>
      <c r="H99" s="3" t="str">
        <f>VLOOKUP(A99, BIOSIM_REF!$A:$E, 5, FALSE)</f>
        <v>Y</v>
      </c>
    </row>
    <row r="100" spans="1:8" x14ac:dyDescent="0.25">
      <c r="A100" s="2" t="s">
        <v>327</v>
      </c>
      <c r="B100" s="3" t="s">
        <v>333</v>
      </c>
      <c r="C100" s="3">
        <v>18684232.199999999</v>
      </c>
      <c r="D100" s="3">
        <v>18746</v>
      </c>
      <c r="E100" s="3">
        <v>996.70501439999998</v>
      </c>
      <c r="F100" s="3" t="str">
        <f>VLOOKUP(A100, BIOSIM_REF!$A:$E, 3, FALSE)</f>
        <v>N</v>
      </c>
      <c r="G100" s="3" t="str">
        <f>VLOOKUP(A100, BIOSIM_REF!$A:$E, 4, FALSE)</f>
        <v>NEUPOGEN</v>
      </c>
      <c r="H100" s="3" t="str">
        <f>VLOOKUP(A100, BIOSIM_REF!$A:$E, 5, FALSE)</f>
        <v>Y</v>
      </c>
    </row>
    <row r="101" spans="1:8" hidden="1" x14ac:dyDescent="0.25">
      <c r="A101" s="1" t="s">
        <v>201</v>
      </c>
      <c r="B101" t="s">
        <v>202</v>
      </c>
      <c r="C101">
        <v>68178745.640000001</v>
      </c>
      <c r="D101">
        <v>7931</v>
      </c>
      <c r="E101">
        <v>8596.4879130000008</v>
      </c>
      <c r="F101" t="e">
        <f>VLOOKUP(A101, BIOSIM_REF!$A:$E, 3, FALSE)</f>
        <v>#N/A</v>
      </c>
      <c r="G101" t="e">
        <f>VLOOKUP(A101, BIOSIM_REF!$A:$E, 4, FALSE)</f>
        <v>#N/A</v>
      </c>
      <c r="H101" t="e">
        <f>VLOOKUP(A101, BIOSIM_REF!$A:$E, 5, FALSE)</f>
        <v>#N/A</v>
      </c>
    </row>
    <row r="102" spans="1:8" hidden="1" x14ac:dyDescent="0.25">
      <c r="A102" s="1" t="s">
        <v>1410</v>
      </c>
      <c r="B102" t="s">
        <v>1531</v>
      </c>
      <c r="C102">
        <v>66538895.909999996</v>
      </c>
      <c r="D102">
        <v>7377</v>
      </c>
      <c r="E102">
        <v>9019.7771329999996</v>
      </c>
      <c r="F102" t="e">
        <f>VLOOKUP(A102, BIOSIM_REF!$A:$E, 3, FALSE)</f>
        <v>#N/A</v>
      </c>
      <c r="G102" t="e">
        <f>VLOOKUP(A102, BIOSIM_REF!$A:$E, 4, FALSE)</f>
        <v>#N/A</v>
      </c>
      <c r="H102" t="e">
        <f>VLOOKUP(A102, BIOSIM_REF!$A:$E, 5, FALSE)</f>
        <v>#N/A</v>
      </c>
    </row>
    <row r="103" spans="1:8" hidden="1" x14ac:dyDescent="0.25">
      <c r="A103" s="1" t="s">
        <v>204</v>
      </c>
      <c r="B103" t="s">
        <v>206</v>
      </c>
      <c r="C103">
        <v>64832002.149999999</v>
      </c>
      <c r="D103">
        <v>83641</v>
      </c>
      <c r="E103">
        <v>775.12227440000004</v>
      </c>
      <c r="F103" t="e">
        <f>VLOOKUP(A103, BIOSIM_REF!$A:$E, 3, FALSE)</f>
        <v>#N/A</v>
      </c>
      <c r="G103" t="e">
        <f>VLOOKUP(A103, BIOSIM_REF!$A:$E, 4, FALSE)</f>
        <v>#N/A</v>
      </c>
      <c r="H103" t="e">
        <f>VLOOKUP(A103, BIOSIM_REF!$A:$E, 5, FALSE)</f>
        <v>#N/A</v>
      </c>
    </row>
    <row r="104" spans="1:8" hidden="1" x14ac:dyDescent="0.25">
      <c r="A104" s="1" t="s">
        <v>205</v>
      </c>
      <c r="B104" t="s">
        <v>207</v>
      </c>
      <c r="C104">
        <v>63952848.890000001</v>
      </c>
      <c r="D104">
        <v>1102</v>
      </c>
      <c r="E104">
        <v>58033.438190000001</v>
      </c>
      <c r="F104" t="e">
        <f>VLOOKUP(A104, BIOSIM_REF!$A:$E, 3, FALSE)</f>
        <v>#N/A</v>
      </c>
      <c r="G104" t="e">
        <f>VLOOKUP(A104, BIOSIM_REF!$A:$E, 4, FALSE)</f>
        <v>#N/A</v>
      </c>
      <c r="H104" t="e">
        <f>VLOOKUP(A104, BIOSIM_REF!$A:$E, 5, FALSE)</f>
        <v>#N/A</v>
      </c>
    </row>
    <row r="105" spans="1:8" hidden="1" x14ac:dyDescent="0.25">
      <c r="A105" s="1" t="s">
        <v>1411</v>
      </c>
      <c r="B105" t="s">
        <v>1532</v>
      </c>
      <c r="C105">
        <v>63872984.100000001</v>
      </c>
      <c r="D105">
        <v>56615</v>
      </c>
      <c r="E105">
        <v>1128.1989599999999</v>
      </c>
      <c r="F105" t="e">
        <f>VLOOKUP(A105, BIOSIM_REF!$A:$E, 3, FALSE)</f>
        <v>#N/A</v>
      </c>
      <c r="G105" t="e">
        <f>VLOOKUP(A105, BIOSIM_REF!$A:$E, 4, FALSE)</f>
        <v>#N/A</v>
      </c>
      <c r="H105" t="e">
        <f>VLOOKUP(A105, BIOSIM_REF!$A:$E, 5, FALSE)</f>
        <v>#N/A</v>
      </c>
    </row>
    <row r="106" spans="1:8" hidden="1" x14ac:dyDescent="0.25">
      <c r="A106" s="1" t="s">
        <v>210</v>
      </c>
      <c r="B106" t="s">
        <v>212</v>
      </c>
      <c r="C106">
        <v>62519533.710000001</v>
      </c>
      <c r="D106">
        <v>137</v>
      </c>
      <c r="E106">
        <v>456346.96139999997</v>
      </c>
      <c r="F106" t="e">
        <f>VLOOKUP(A106, BIOSIM_REF!$A:$E, 3, FALSE)</f>
        <v>#N/A</v>
      </c>
      <c r="G106" t="e">
        <f>VLOOKUP(A106, BIOSIM_REF!$A:$E, 4, FALSE)</f>
        <v>#N/A</v>
      </c>
      <c r="H106" t="e">
        <f>VLOOKUP(A106, BIOSIM_REF!$A:$E, 5, FALSE)</f>
        <v>#N/A</v>
      </c>
    </row>
    <row r="107" spans="1:8" hidden="1" x14ac:dyDescent="0.25">
      <c r="A107" s="1" t="s">
        <v>211</v>
      </c>
      <c r="B107" t="s">
        <v>213</v>
      </c>
      <c r="C107">
        <v>61675529.630000003</v>
      </c>
      <c r="D107">
        <v>116</v>
      </c>
      <c r="E107">
        <v>531685.60030000005</v>
      </c>
      <c r="F107" t="e">
        <f>VLOOKUP(A107, BIOSIM_REF!$A:$E, 3, FALSE)</f>
        <v>#N/A</v>
      </c>
      <c r="G107" t="e">
        <f>VLOOKUP(A107, BIOSIM_REF!$A:$E, 4, FALSE)</f>
        <v>#N/A</v>
      </c>
      <c r="H107" t="e">
        <f>VLOOKUP(A107, BIOSIM_REF!$A:$E, 5, FALSE)</f>
        <v>#N/A</v>
      </c>
    </row>
    <row r="108" spans="1:8" x14ac:dyDescent="0.25">
      <c r="A108" s="2" t="s">
        <v>350</v>
      </c>
      <c r="B108" s="3" t="s">
        <v>360</v>
      </c>
      <c r="C108" s="3">
        <v>16004307.51</v>
      </c>
      <c r="D108" s="3">
        <v>6630</v>
      </c>
      <c r="E108" s="3">
        <v>2413.922701</v>
      </c>
      <c r="F108" s="3" t="str">
        <f>VLOOKUP(A108, BIOSIM_REF!$A:$E, 3, FALSE)</f>
        <v>Y</v>
      </c>
      <c r="G108" s="3" t="str">
        <f>VLOOKUP(A108, BIOSIM_REF!$A:$E, 4, FALSE)</f>
        <v>NEUPOGEN</v>
      </c>
      <c r="H108" s="3" t="str">
        <f>VLOOKUP(A108, BIOSIM_REF!$A:$E, 5, FALSE)</f>
        <v>N</v>
      </c>
    </row>
    <row r="109" spans="1:8" x14ac:dyDescent="0.25">
      <c r="A109" s="2" t="s">
        <v>1345</v>
      </c>
      <c r="B109" s="3" t="s">
        <v>1582</v>
      </c>
      <c r="C109" s="3">
        <v>4915196.03</v>
      </c>
      <c r="D109" s="3">
        <v>3741</v>
      </c>
      <c r="E109" s="3">
        <v>1313.872235</v>
      </c>
      <c r="F109" s="3" t="str">
        <f>VLOOKUP(A109, BIOSIM_REF!$A:$E, 3, FALSE)</f>
        <v>N</v>
      </c>
      <c r="G109" s="3" t="str">
        <f>VLOOKUP(A109, BIOSIM_REF!$A:$E, 4, FALSE)</f>
        <v>NEUPOGEN</v>
      </c>
      <c r="H109" s="3" t="str">
        <f>VLOOKUP(A109, BIOSIM_REF!$A:$E, 5, FALSE)</f>
        <v>Y</v>
      </c>
    </row>
    <row r="110" spans="1:8" hidden="1" x14ac:dyDescent="0.25">
      <c r="A110" s="1" t="s">
        <v>217</v>
      </c>
      <c r="B110" t="s">
        <v>219</v>
      </c>
      <c r="C110">
        <v>56731827.130000003</v>
      </c>
      <c r="D110">
        <v>1713</v>
      </c>
      <c r="E110">
        <v>33118.404629999997</v>
      </c>
      <c r="F110" t="e">
        <f>VLOOKUP(A110, BIOSIM_REF!$A:$E, 3, FALSE)</f>
        <v>#N/A</v>
      </c>
      <c r="G110" t="e">
        <f>VLOOKUP(A110, BIOSIM_REF!$A:$E, 4, FALSE)</f>
        <v>#N/A</v>
      </c>
      <c r="H110" t="e">
        <f>VLOOKUP(A110, BIOSIM_REF!$A:$E, 5, FALSE)</f>
        <v>#N/A</v>
      </c>
    </row>
    <row r="111" spans="1:8" hidden="1" x14ac:dyDescent="0.25">
      <c r="A111" s="1" t="s">
        <v>1412</v>
      </c>
      <c r="B111" t="s">
        <v>1534</v>
      </c>
      <c r="C111">
        <v>56144672.479999997</v>
      </c>
      <c r="D111">
        <v>818</v>
      </c>
      <c r="E111">
        <v>68636.518920000002</v>
      </c>
      <c r="F111" t="e">
        <f>VLOOKUP(A111, BIOSIM_REF!$A:$E, 3, FALSE)</f>
        <v>#N/A</v>
      </c>
      <c r="G111" t="e">
        <f>VLOOKUP(A111, BIOSIM_REF!$A:$E, 4, FALSE)</f>
        <v>#N/A</v>
      </c>
      <c r="H111" t="e">
        <f>VLOOKUP(A111, BIOSIM_REF!$A:$E, 5, FALSE)</f>
        <v>#N/A</v>
      </c>
    </row>
    <row r="112" spans="1:8" hidden="1" x14ac:dyDescent="0.25">
      <c r="A112" s="1" t="s">
        <v>222</v>
      </c>
      <c r="B112" t="s">
        <v>223</v>
      </c>
      <c r="C112">
        <v>55643275.350000001</v>
      </c>
      <c r="D112">
        <v>111</v>
      </c>
      <c r="E112">
        <v>501290.76890000002</v>
      </c>
      <c r="F112" t="e">
        <f>VLOOKUP(A112, BIOSIM_REF!$A:$E, 3, FALSE)</f>
        <v>#N/A</v>
      </c>
      <c r="G112" t="e">
        <f>VLOOKUP(A112, BIOSIM_REF!$A:$E, 4, FALSE)</f>
        <v>#N/A</v>
      </c>
      <c r="H112" t="e">
        <f>VLOOKUP(A112, BIOSIM_REF!$A:$E, 5, FALSE)</f>
        <v>#N/A</v>
      </c>
    </row>
    <row r="113" spans="1:8" hidden="1" x14ac:dyDescent="0.25">
      <c r="A113" s="1" t="s">
        <v>1413</v>
      </c>
      <c r="B113" t="s">
        <v>1535</v>
      </c>
      <c r="C113">
        <v>55200909.93</v>
      </c>
      <c r="D113">
        <v>5717</v>
      </c>
      <c r="E113">
        <v>9655.5728409999992</v>
      </c>
      <c r="F113" t="e">
        <f>VLOOKUP(A113, BIOSIM_REF!$A:$E, 3, FALSE)</f>
        <v>#N/A</v>
      </c>
      <c r="G113" t="e">
        <f>VLOOKUP(A113, BIOSIM_REF!$A:$E, 4, FALSE)</f>
        <v>#N/A</v>
      </c>
      <c r="H113" t="e">
        <f>VLOOKUP(A113, BIOSIM_REF!$A:$E, 5, FALSE)</f>
        <v>#N/A</v>
      </c>
    </row>
    <row r="114" spans="1:8" hidden="1" x14ac:dyDescent="0.25">
      <c r="A114" s="1" t="s">
        <v>225</v>
      </c>
      <c r="B114" t="s">
        <v>229</v>
      </c>
      <c r="C114">
        <v>54628099.859999999</v>
      </c>
      <c r="D114">
        <v>72</v>
      </c>
      <c r="E114">
        <v>758723.60919999995</v>
      </c>
      <c r="F114" t="e">
        <f>VLOOKUP(A114, BIOSIM_REF!$A:$E, 3, FALSE)</f>
        <v>#N/A</v>
      </c>
      <c r="G114" t="e">
        <f>VLOOKUP(A114, BIOSIM_REF!$A:$E, 4, FALSE)</f>
        <v>#N/A</v>
      </c>
      <c r="H114" t="e">
        <f>VLOOKUP(A114, BIOSIM_REF!$A:$E, 5, FALSE)</f>
        <v>#N/A</v>
      </c>
    </row>
    <row r="115" spans="1:8" hidden="1" x14ac:dyDescent="0.25">
      <c r="A115" s="1" t="s">
        <v>226</v>
      </c>
      <c r="B115" t="s">
        <v>230</v>
      </c>
      <c r="C115">
        <v>54059876.149999999</v>
      </c>
      <c r="D115">
        <v>85</v>
      </c>
      <c r="E115">
        <v>635998.5429</v>
      </c>
      <c r="F115" t="e">
        <f>VLOOKUP(A115, BIOSIM_REF!$A:$E, 3, FALSE)</f>
        <v>#N/A</v>
      </c>
      <c r="G115" t="e">
        <f>VLOOKUP(A115, BIOSIM_REF!$A:$E, 4, FALSE)</f>
        <v>#N/A</v>
      </c>
      <c r="H115" t="e">
        <f>VLOOKUP(A115, BIOSIM_REF!$A:$E, 5, FALSE)</f>
        <v>#N/A</v>
      </c>
    </row>
    <row r="116" spans="1:8" hidden="1" x14ac:dyDescent="0.25">
      <c r="A116" s="1" t="s">
        <v>227</v>
      </c>
      <c r="B116" t="s">
        <v>231</v>
      </c>
      <c r="C116">
        <v>53510927.969999999</v>
      </c>
      <c r="D116">
        <v>121717</v>
      </c>
      <c r="E116">
        <v>439.63397040000001</v>
      </c>
      <c r="F116" t="e">
        <f>VLOOKUP(A116, BIOSIM_REF!$A:$E, 3, FALSE)</f>
        <v>#N/A</v>
      </c>
      <c r="G116" t="e">
        <f>VLOOKUP(A116, BIOSIM_REF!$A:$E, 4, FALSE)</f>
        <v>#N/A</v>
      </c>
      <c r="H116" t="e">
        <f>VLOOKUP(A116, BIOSIM_REF!$A:$E, 5, FALSE)</f>
        <v>#N/A</v>
      </c>
    </row>
    <row r="117" spans="1:8" hidden="1" x14ac:dyDescent="0.25">
      <c r="A117" s="1" t="s">
        <v>228</v>
      </c>
      <c r="B117" t="s">
        <v>232</v>
      </c>
      <c r="C117">
        <v>52527144.630000003</v>
      </c>
      <c r="D117">
        <v>225</v>
      </c>
      <c r="E117">
        <v>233453.9761</v>
      </c>
      <c r="F117" t="e">
        <f>VLOOKUP(A117, BIOSIM_REF!$A:$E, 3, FALSE)</f>
        <v>#N/A</v>
      </c>
      <c r="G117" t="e">
        <f>VLOOKUP(A117, BIOSIM_REF!$A:$E, 4, FALSE)</f>
        <v>#N/A</v>
      </c>
      <c r="H117" t="e">
        <f>VLOOKUP(A117, BIOSIM_REF!$A:$E, 5, FALSE)</f>
        <v>#N/A</v>
      </c>
    </row>
    <row r="118" spans="1:8" hidden="1" x14ac:dyDescent="0.25">
      <c r="A118" s="1" t="s">
        <v>1414</v>
      </c>
      <c r="B118" t="s">
        <v>1536</v>
      </c>
      <c r="C118">
        <v>52270180.299999997</v>
      </c>
      <c r="D118">
        <v>275</v>
      </c>
      <c r="E118">
        <v>190073.3829</v>
      </c>
      <c r="F118" t="e">
        <f>VLOOKUP(A118, BIOSIM_REF!$A:$E, 3, FALSE)</f>
        <v>#N/A</v>
      </c>
      <c r="G118" t="e">
        <f>VLOOKUP(A118, BIOSIM_REF!$A:$E, 4, FALSE)</f>
        <v>#N/A</v>
      </c>
      <c r="H118" t="e">
        <f>VLOOKUP(A118, BIOSIM_REF!$A:$E, 5, FALSE)</f>
        <v>#N/A</v>
      </c>
    </row>
    <row r="119" spans="1:8" hidden="1" x14ac:dyDescent="0.25">
      <c r="A119" s="1" t="s">
        <v>236</v>
      </c>
      <c r="B119" t="s">
        <v>239</v>
      </c>
      <c r="C119">
        <v>51788990.640000001</v>
      </c>
      <c r="D119">
        <v>42828</v>
      </c>
      <c r="E119">
        <v>1209.2320589999999</v>
      </c>
      <c r="F119" t="e">
        <f>VLOOKUP(A119, BIOSIM_REF!$A:$E, 3, FALSE)</f>
        <v>#N/A</v>
      </c>
      <c r="G119" t="e">
        <f>VLOOKUP(A119, BIOSIM_REF!$A:$E, 4, FALSE)</f>
        <v>#N/A</v>
      </c>
      <c r="H119" t="e">
        <f>VLOOKUP(A119, BIOSIM_REF!$A:$E, 5, FALSE)</f>
        <v>#N/A</v>
      </c>
    </row>
    <row r="120" spans="1:8" hidden="1" x14ac:dyDescent="0.25">
      <c r="A120" s="1" t="s">
        <v>237</v>
      </c>
      <c r="B120" t="s">
        <v>240</v>
      </c>
      <c r="C120">
        <v>51773256.649999999</v>
      </c>
      <c r="D120">
        <v>16593</v>
      </c>
      <c r="E120">
        <v>3120.1866239999999</v>
      </c>
      <c r="F120" t="e">
        <f>VLOOKUP(A120, BIOSIM_REF!$A:$E, 3, FALSE)</f>
        <v>#N/A</v>
      </c>
      <c r="G120" t="e">
        <f>VLOOKUP(A120, BIOSIM_REF!$A:$E, 4, FALSE)</f>
        <v>#N/A</v>
      </c>
      <c r="H120" t="e">
        <f>VLOOKUP(A120, BIOSIM_REF!$A:$E, 5, FALSE)</f>
        <v>#N/A</v>
      </c>
    </row>
    <row r="121" spans="1:8" hidden="1" x14ac:dyDescent="0.25">
      <c r="A121" s="1" t="s">
        <v>238</v>
      </c>
      <c r="B121" t="s">
        <v>241</v>
      </c>
      <c r="C121">
        <v>51146680.039999999</v>
      </c>
      <c r="D121">
        <v>46340</v>
      </c>
      <c r="E121">
        <v>1103.726371</v>
      </c>
      <c r="F121" t="e">
        <f>VLOOKUP(A121, BIOSIM_REF!$A:$E, 3, FALSE)</f>
        <v>#N/A</v>
      </c>
      <c r="G121" t="e">
        <f>VLOOKUP(A121, BIOSIM_REF!$A:$E, 4, FALSE)</f>
        <v>#N/A</v>
      </c>
      <c r="H121" t="e">
        <f>VLOOKUP(A121, BIOSIM_REF!$A:$E, 5, FALSE)</f>
        <v>#N/A</v>
      </c>
    </row>
    <row r="122" spans="1:8" x14ac:dyDescent="0.25">
      <c r="A122" s="2" t="s">
        <v>1354</v>
      </c>
      <c r="B122" s="3" t="s">
        <v>1523</v>
      </c>
      <c r="C122" s="3">
        <v>87251749.980000004</v>
      </c>
      <c r="D122" s="3">
        <v>37266</v>
      </c>
      <c r="E122" s="3">
        <v>2341.3231900000001</v>
      </c>
      <c r="F122" s="3" t="str">
        <f>VLOOKUP(A122, BIOSIM_REF!$A:$E, 3, FALSE)</f>
        <v>N</v>
      </c>
      <c r="G122" s="3" t="str">
        <f>VLOOKUP(A122, BIOSIM_REF!$A:$E, 4, FALSE)</f>
        <v>PROCRIT</v>
      </c>
      <c r="H122" s="3" t="str">
        <f>VLOOKUP(A122, BIOSIM_REF!$A:$E, 5, FALSE)</f>
        <v>Y</v>
      </c>
    </row>
    <row r="123" spans="1:8" hidden="1" x14ac:dyDescent="0.25">
      <c r="A123" s="1" t="s">
        <v>245</v>
      </c>
      <c r="B123" t="s">
        <v>247</v>
      </c>
      <c r="C123">
        <v>50266359.93</v>
      </c>
      <c r="D123">
        <v>79954</v>
      </c>
      <c r="E123">
        <v>628.69099649999998</v>
      </c>
      <c r="F123" t="e">
        <f>VLOOKUP(A123, BIOSIM_REF!$A:$E, 3, FALSE)</f>
        <v>#N/A</v>
      </c>
      <c r="G123" t="e">
        <f>VLOOKUP(A123, BIOSIM_REF!$A:$E, 4, FALSE)</f>
        <v>#N/A</v>
      </c>
      <c r="H123" t="e">
        <f>VLOOKUP(A123, BIOSIM_REF!$A:$E, 5, FALSE)</f>
        <v>#N/A</v>
      </c>
    </row>
    <row r="124" spans="1:8" hidden="1" x14ac:dyDescent="0.25">
      <c r="A124" s="1" t="s">
        <v>246</v>
      </c>
      <c r="B124" t="s">
        <v>248</v>
      </c>
      <c r="C124">
        <v>49083316.469999999</v>
      </c>
      <c r="D124">
        <v>79084</v>
      </c>
      <c r="E124">
        <v>620.647874</v>
      </c>
      <c r="F124" t="e">
        <f>VLOOKUP(A124, BIOSIM_REF!$A:$E, 3, FALSE)</f>
        <v>#N/A</v>
      </c>
      <c r="G124" t="e">
        <f>VLOOKUP(A124, BIOSIM_REF!$A:$E, 4, FALSE)</f>
        <v>#N/A</v>
      </c>
      <c r="H124" t="e">
        <f>VLOOKUP(A124, BIOSIM_REF!$A:$E, 5, FALSE)</f>
        <v>#N/A</v>
      </c>
    </row>
    <row r="125" spans="1:8" x14ac:dyDescent="0.25">
      <c r="A125" s="2" t="s">
        <v>216</v>
      </c>
      <c r="B125" s="3" t="s">
        <v>218</v>
      </c>
      <c r="C125" s="3">
        <v>58454183.100000001</v>
      </c>
      <c r="D125" s="3">
        <v>25914</v>
      </c>
      <c r="E125" s="3">
        <v>2255.6989699999999</v>
      </c>
      <c r="F125" s="3" t="str">
        <f>VLOOKUP(A125, BIOSIM_REF!$A:$E, 3, FALSE)</f>
        <v>Y</v>
      </c>
      <c r="G125" s="3" t="str">
        <f>VLOOKUP(A125, BIOSIM_REF!$A:$E, 4, FALSE)</f>
        <v>PROCRIT</v>
      </c>
      <c r="H125" s="3" t="str">
        <f>VLOOKUP(A125, BIOSIM_REF!$A:$E, 5, FALSE)</f>
        <v>N</v>
      </c>
    </row>
    <row r="126" spans="1:8" hidden="1" x14ac:dyDescent="0.25">
      <c r="A126" s="1" t="s">
        <v>251</v>
      </c>
      <c r="B126" t="s">
        <v>253</v>
      </c>
      <c r="C126">
        <v>44071350.950000003</v>
      </c>
      <c r="D126">
        <v>6650</v>
      </c>
      <c r="E126">
        <v>6627.2708199999997</v>
      </c>
      <c r="F126" t="e">
        <f>VLOOKUP(A126, BIOSIM_REF!$A:$E, 3, FALSE)</f>
        <v>#N/A</v>
      </c>
      <c r="G126" t="e">
        <f>VLOOKUP(A126, BIOSIM_REF!$A:$E, 4, FALSE)</f>
        <v>#N/A</v>
      </c>
      <c r="H126" t="e">
        <f>VLOOKUP(A126, BIOSIM_REF!$A:$E, 5, FALSE)</f>
        <v>#N/A</v>
      </c>
    </row>
    <row r="127" spans="1:8" hidden="1" x14ac:dyDescent="0.25">
      <c r="A127" s="1" t="s">
        <v>252</v>
      </c>
      <c r="B127" t="s">
        <v>254</v>
      </c>
      <c r="C127">
        <v>42550810.740000002</v>
      </c>
      <c r="D127">
        <v>2047</v>
      </c>
      <c r="E127">
        <v>20786.912919999999</v>
      </c>
      <c r="F127" t="e">
        <f>VLOOKUP(A127, BIOSIM_REF!$A:$E, 3, FALSE)</f>
        <v>#N/A</v>
      </c>
      <c r="G127" t="e">
        <f>VLOOKUP(A127, BIOSIM_REF!$A:$E, 4, FALSE)</f>
        <v>#N/A</v>
      </c>
      <c r="H127" t="e">
        <f>VLOOKUP(A127, BIOSIM_REF!$A:$E, 5, FALSE)</f>
        <v>#N/A</v>
      </c>
    </row>
    <row r="128" spans="1:8" hidden="1" x14ac:dyDescent="0.25">
      <c r="A128" s="1" t="s">
        <v>1415</v>
      </c>
      <c r="B128" t="s">
        <v>1539</v>
      </c>
      <c r="C128">
        <v>42318868.109999999</v>
      </c>
      <c r="D128">
        <v>824</v>
      </c>
      <c r="E128">
        <v>51357.849649999996</v>
      </c>
      <c r="F128" t="e">
        <f>VLOOKUP(A128, BIOSIM_REF!$A:$E, 3, FALSE)</f>
        <v>#N/A</v>
      </c>
      <c r="G128" t="e">
        <f>VLOOKUP(A128, BIOSIM_REF!$A:$E, 4, FALSE)</f>
        <v>#N/A</v>
      </c>
      <c r="H128" t="e">
        <f>VLOOKUP(A128, BIOSIM_REF!$A:$E, 5, FALSE)</f>
        <v>#N/A</v>
      </c>
    </row>
    <row r="129" spans="1:8" hidden="1" x14ac:dyDescent="0.25">
      <c r="A129" s="1" t="s">
        <v>257</v>
      </c>
      <c r="B129" t="s">
        <v>263</v>
      </c>
      <c r="C129">
        <v>42012477.340000004</v>
      </c>
      <c r="D129">
        <v>64123</v>
      </c>
      <c r="E129">
        <v>655.18577330000005</v>
      </c>
      <c r="F129" t="e">
        <f>VLOOKUP(A129, BIOSIM_REF!$A:$E, 3, FALSE)</f>
        <v>#N/A</v>
      </c>
      <c r="G129" t="e">
        <f>VLOOKUP(A129, BIOSIM_REF!$A:$E, 4, FALSE)</f>
        <v>#N/A</v>
      </c>
      <c r="H129" t="e">
        <f>VLOOKUP(A129, BIOSIM_REF!$A:$E, 5, FALSE)</f>
        <v>#N/A</v>
      </c>
    </row>
    <row r="130" spans="1:8" hidden="1" x14ac:dyDescent="0.25">
      <c r="A130" s="1" t="s">
        <v>258</v>
      </c>
      <c r="B130" t="s">
        <v>264</v>
      </c>
      <c r="C130">
        <v>39771237.140000001</v>
      </c>
      <c r="D130">
        <v>6898</v>
      </c>
      <c r="E130">
        <v>5765.6186049999997</v>
      </c>
      <c r="F130" t="e">
        <f>VLOOKUP(A130, BIOSIM_REF!$A:$E, 3, FALSE)</f>
        <v>#N/A</v>
      </c>
      <c r="G130" t="e">
        <f>VLOOKUP(A130, BIOSIM_REF!$A:$E, 4, FALSE)</f>
        <v>#N/A</v>
      </c>
      <c r="H130" t="e">
        <f>VLOOKUP(A130, BIOSIM_REF!$A:$E, 5, FALSE)</f>
        <v>#N/A</v>
      </c>
    </row>
    <row r="131" spans="1:8" hidden="1" x14ac:dyDescent="0.25">
      <c r="A131" s="1" t="s">
        <v>259</v>
      </c>
      <c r="B131" t="s">
        <v>265</v>
      </c>
      <c r="C131">
        <v>39031430.100000001</v>
      </c>
      <c r="D131">
        <v>135</v>
      </c>
      <c r="E131">
        <v>289121.70439999999</v>
      </c>
      <c r="F131" t="e">
        <f>VLOOKUP(A131, BIOSIM_REF!$A:$E, 3, FALSE)</f>
        <v>#N/A</v>
      </c>
      <c r="G131" t="e">
        <f>VLOOKUP(A131, BIOSIM_REF!$A:$E, 4, FALSE)</f>
        <v>#N/A</v>
      </c>
      <c r="H131" t="e">
        <f>VLOOKUP(A131, BIOSIM_REF!$A:$E, 5, FALSE)</f>
        <v>#N/A</v>
      </c>
    </row>
    <row r="132" spans="1:8" hidden="1" x14ac:dyDescent="0.25">
      <c r="A132" s="1" t="s">
        <v>260</v>
      </c>
      <c r="B132" t="s">
        <v>266</v>
      </c>
      <c r="C132">
        <v>37587828.310000002</v>
      </c>
      <c r="D132">
        <v>236</v>
      </c>
      <c r="E132">
        <v>159270.4589</v>
      </c>
      <c r="F132" t="e">
        <f>VLOOKUP(A132, BIOSIM_REF!$A:$E, 3, FALSE)</f>
        <v>#N/A</v>
      </c>
      <c r="G132" t="e">
        <f>VLOOKUP(A132, BIOSIM_REF!$A:$E, 4, FALSE)</f>
        <v>#N/A</v>
      </c>
      <c r="H132" t="e">
        <f>VLOOKUP(A132, BIOSIM_REF!$A:$E, 5, FALSE)</f>
        <v>#N/A</v>
      </c>
    </row>
    <row r="133" spans="1:8" hidden="1" x14ac:dyDescent="0.25">
      <c r="A133" s="1" t="s">
        <v>261</v>
      </c>
      <c r="B133" t="s">
        <v>267</v>
      </c>
      <c r="C133">
        <v>36869429.969999999</v>
      </c>
      <c r="D133">
        <v>2445</v>
      </c>
      <c r="E133">
        <v>15079.52146</v>
      </c>
      <c r="F133" t="e">
        <f>VLOOKUP(A133, BIOSIM_REF!$A:$E, 3, FALSE)</f>
        <v>#N/A</v>
      </c>
      <c r="G133" t="e">
        <f>VLOOKUP(A133, BIOSIM_REF!$A:$E, 4, FALSE)</f>
        <v>#N/A</v>
      </c>
      <c r="H133" t="e">
        <f>VLOOKUP(A133, BIOSIM_REF!$A:$E, 5, FALSE)</f>
        <v>#N/A</v>
      </c>
    </row>
    <row r="134" spans="1:8" hidden="1" x14ac:dyDescent="0.25">
      <c r="A134" s="1" t="s">
        <v>262</v>
      </c>
      <c r="B134" t="s">
        <v>268</v>
      </c>
      <c r="C134">
        <v>36088116.979999997</v>
      </c>
      <c r="D134">
        <v>56893</v>
      </c>
      <c r="E134">
        <v>634.3155921</v>
      </c>
      <c r="F134" t="e">
        <f>VLOOKUP(A134, BIOSIM_REF!$A:$E, 3, FALSE)</f>
        <v>#N/A</v>
      </c>
      <c r="G134" t="e">
        <f>VLOOKUP(A134, BIOSIM_REF!$A:$E, 4, FALSE)</f>
        <v>#N/A</v>
      </c>
      <c r="H134" t="e">
        <f>VLOOKUP(A134, BIOSIM_REF!$A:$E, 5, FALSE)</f>
        <v>#N/A</v>
      </c>
    </row>
    <row r="135" spans="1:8" hidden="1" x14ac:dyDescent="0.25">
      <c r="A135" s="1" t="s">
        <v>1416</v>
      </c>
      <c r="B135" t="s">
        <v>1540</v>
      </c>
      <c r="C135">
        <v>35024437.350000001</v>
      </c>
      <c r="D135">
        <v>3691</v>
      </c>
      <c r="E135">
        <v>9489.1458550000007</v>
      </c>
      <c r="F135" t="e">
        <f>VLOOKUP(A135, BIOSIM_REF!$A:$E, 3, FALSE)</f>
        <v>#N/A</v>
      </c>
      <c r="G135" t="e">
        <f>VLOOKUP(A135, BIOSIM_REF!$A:$E, 4, FALSE)</f>
        <v>#N/A</v>
      </c>
      <c r="H135" t="e">
        <f>VLOOKUP(A135, BIOSIM_REF!$A:$E, 5, FALSE)</f>
        <v>#N/A</v>
      </c>
    </row>
    <row r="136" spans="1:8" hidden="1" x14ac:dyDescent="0.25">
      <c r="A136" s="1" t="s">
        <v>273</v>
      </c>
      <c r="B136" t="s">
        <v>275</v>
      </c>
      <c r="C136">
        <v>33142126.129999999</v>
      </c>
      <c r="D136">
        <v>8283</v>
      </c>
      <c r="E136">
        <v>4001.2225199999998</v>
      </c>
      <c r="F136" t="e">
        <f>VLOOKUP(A136, BIOSIM_REF!$A:$E, 3, FALSE)</f>
        <v>#N/A</v>
      </c>
      <c r="G136" t="e">
        <f>VLOOKUP(A136, BIOSIM_REF!$A:$E, 4, FALSE)</f>
        <v>#N/A</v>
      </c>
      <c r="H136" t="e">
        <f>VLOOKUP(A136, BIOSIM_REF!$A:$E, 5, FALSE)</f>
        <v>#N/A</v>
      </c>
    </row>
    <row r="137" spans="1:8" hidden="1" x14ac:dyDescent="0.25">
      <c r="A137" s="1" t="s">
        <v>274</v>
      </c>
      <c r="B137" t="s">
        <v>276</v>
      </c>
      <c r="C137">
        <v>32625429.989999998</v>
      </c>
      <c r="D137">
        <v>25507</v>
      </c>
      <c r="E137">
        <v>1279.0775080000001</v>
      </c>
      <c r="F137" t="e">
        <f>VLOOKUP(A137, BIOSIM_REF!$A:$E, 3, FALSE)</f>
        <v>#N/A</v>
      </c>
      <c r="G137" t="e">
        <f>VLOOKUP(A137, BIOSIM_REF!$A:$E, 4, FALSE)</f>
        <v>#N/A</v>
      </c>
      <c r="H137" t="e">
        <f>VLOOKUP(A137, BIOSIM_REF!$A:$E, 5, FALSE)</f>
        <v>#N/A</v>
      </c>
    </row>
    <row r="138" spans="1:8" hidden="1" x14ac:dyDescent="0.25">
      <c r="A138" s="1" t="s">
        <v>1417</v>
      </c>
      <c r="B138" t="s">
        <v>1541</v>
      </c>
      <c r="C138">
        <v>32609272.190000001</v>
      </c>
      <c r="D138">
        <v>565</v>
      </c>
      <c r="E138">
        <v>57715.525999999998</v>
      </c>
      <c r="F138" t="e">
        <f>VLOOKUP(A138, BIOSIM_REF!$A:$E, 3, FALSE)</f>
        <v>#N/A</v>
      </c>
      <c r="G138" t="e">
        <f>VLOOKUP(A138, BIOSIM_REF!$A:$E, 4, FALSE)</f>
        <v>#N/A</v>
      </c>
      <c r="H138" t="e">
        <f>VLOOKUP(A138, BIOSIM_REF!$A:$E, 5, FALSE)</f>
        <v>#N/A</v>
      </c>
    </row>
    <row r="139" spans="1:8" hidden="1" x14ac:dyDescent="0.25">
      <c r="A139" s="1" t="s">
        <v>1418</v>
      </c>
      <c r="B139" t="s">
        <v>1542</v>
      </c>
      <c r="C139">
        <v>31749710.73</v>
      </c>
      <c r="D139">
        <v>600</v>
      </c>
      <c r="E139">
        <v>52916.184549999998</v>
      </c>
      <c r="F139" t="e">
        <f>VLOOKUP(A139, BIOSIM_REF!$A:$E, 3, FALSE)</f>
        <v>#N/A</v>
      </c>
      <c r="G139" t="e">
        <f>VLOOKUP(A139, BIOSIM_REF!$A:$E, 4, FALSE)</f>
        <v>#N/A</v>
      </c>
      <c r="H139" t="e">
        <f>VLOOKUP(A139, BIOSIM_REF!$A:$E, 5, FALSE)</f>
        <v>#N/A</v>
      </c>
    </row>
    <row r="140" spans="1:8" hidden="1" x14ac:dyDescent="0.25">
      <c r="A140" s="1" t="s">
        <v>278</v>
      </c>
      <c r="B140" t="s">
        <v>279</v>
      </c>
      <c r="C140">
        <v>31423100.870000001</v>
      </c>
      <c r="D140">
        <v>324</v>
      </c>
      <c r="E140">
        <v>96984.879230000006</v>
      </c>
      <c r="F140" t="e">
        <f>VLOOKUP(A140, BIOSIM_REF!$A:$E, 3, FALSE)</f>
        <v>#N/A</v>
      </c>
      <c r="G140" t="e">
        <f>VLOOKUP(A140, BIOSIM_REF!$A:$E, 4, FALSE)</f>
        <v>#N/A</v>
      </c>
      <c r="H140" t="e">
        <f>VLOOKUP(A140, BIOSIM_REF!$A:$E, 5, FALSE)</f>
        <v>#N/A</v>
      </c>
    </row>
    <row r="141" spans="1:8" hidden="1" x14ac:dyDescent="0.25">
      <c r="A141" s="1" t="s">
        <v>1419</v>
      </c>
      <c r="B141" t="s">
        <v>1543</v>
      </c>
      <c r="C141">
        <v>31071224.120000001</v>
      </c>
      <c r="D141">
        <v>559</v>
      </c>
      <c r="E141">
        <v>55583.585189999998</v>
      </c>
      <c r="F141" t="e">
        <f>VLOOKUP(A141, BIOSIM_REF!$A:$E, 3, FALSE)</f>
        <v>#N/A</v>
      </c>
      <c r="G141" t="e">
        <f>VLOOKUP(A141, BIOSIM_REF!$A:$E, 4, FALSE)</f>
        <v>#N/A</v>
      </c>
      <c r="H141" t="e">
        <f>VLOOKUP(A141, BIOSIM_REF!$A:$E, 5, FALSE)</f>
        <v>#N/A</v>
      </c>
    </row>
    <row r="142" spans="1:8" hidden="1" x14ac:dyDescent="0.25">
      <c r="A142" s="1" t="s">
        <v>281</v>
      </c>
      <c r="B142" t="s">
        <v>284</v>
      </c>
      <c r="C142">
        <v>31007893.030000001</v>
      </c>
      <c r="D142">
        <v>797</v>
      </c>
      <c r="E142">
        <v>38905.762900000002</v>
      </c>
      <c r="F142" t="e">
        <f>VLOOKUP(A142, BIOSIM_REF!$A:$E, 3, FALSE)</f>
        <v>#N/A</v>
      </c>
      <c r="G142" t="e">
        <f>VLOOKUP(A142, BIOSIM_REF!$A:$E, 4, FALSE)</f>
        <v>#N/A</v>
      </c>
      <c r="H142" t="e">
        <f>VLOOKUP(A142, BIOSIM_REF!$A:$E, 5, FALSE)</f>
        <v>#N/A</v>
      </c>
    </row>
    <row r="143" spans="1:8" hidden="1" x14ac:dyDescent="0.25">
      <c r="A143" s="1" t="s">
        <v>282</v>
      </c>
      <c r="B143" t="s">
        <v>285</v>
      </c>
      <c r="C143">
        <v>30089063.170000002</v>
      </c>
      <c r="D143">
        <v>70</v>
      </c>
      <c r="E143">
        <v>429843.75959999999</v>
      </c>
      <c r="F143" t="e">
        <f>VLOOKUP(A143, BIOSIM_REF!$A:$E, 3, FALSE)</f>
        <v>#N/A</v>
      </c>
      <c r="G143" t="e">
        <f>VLOOKUP(A143, BIOSIM_REF!$A:$E, 4, FALSE)</f>
        <v>#N/A</v>
      </c>
      <c r="H143" t="e">
        <f>VLOOKUP(A143, BIOSIM_REF!$A:$E, 5, FALSE)</f>
        <v>#N/A</v>
      </c>
    </row>
    <row r="144" spans="1:8" hidden="1" x14ac:dyDescent="0.25">
      <c r="A144" s="1" t="s">
        <v>283</v>
      </c>
      <c r="B144" t="s">
        <v>286</v>
      </c>
      <c r="C144">
        <v>29490763.809999999</v>
      </c>
      <c r="D144">
        <v>1135</v>
      </c>
      <c r="E144">
        <v>25983.051820000001</v>
      </c>
      <c r="F144" t="e">
        <f>VLOOKUP(A144, BIOSIM_REF!$A:$E, 3, FALSE)</f>
        <v>#N/A</v>
      </c>
      <c r="G144" t="e">
        <f>VLOOKUP(A144, BIOSIM_REF!$A:$E, 4, FALSE)</f>
        <v>#N/A</v>
      </c>
      <c r="H144" t="e">
        <f>VLOOKUP(A144, BIOSIM_REF!$A:$E, 5, FALSE)</f>
        <v>#N/A</v>
      </c>
    </row>
    <row r="145" spans="1:8" hidden="1" x14ac:dyDescent="0.25">
      <c r="A145" s="1" t="s">
        <v>1420</v>
      </c>
      <c r="B145" t="s">
        <v>1544</v>
      </c>
      <c r="C145">
        <v>28633447.140000001</v>
      </c>
      <c r="D145">
        <v>623</v>
      </c>
      <c r="E145">
        <v>45960.589310000003</v>
      </c>
      <c r="F145" t="e">
        <f>VLOOKUP(A145, BIOSIM_REF!$A:$E, 3, FALSE)</f>
        <v>#N/A</v>
      </c>
      <c r="G145" t="e">
        <f>VLOOKUP(A145, BIOSIM_REF!$A:$E, 4, FALSE)</f>
        <v>#N/A</v>
      </c>
      <c r="H145" t="e">
        <f>VLOOKUP(A145, BIOSIM_REF!$A:$E, 5, FALSE)</f>
        <v>#N/A</v>
      </c>
    </row>
    <row r="146" spans="1:8" hidden="1" x14ac:dyDescent="0.25">
      <c r="A146" s="1" t="s">
        <v>290</v>
      </c>
      <c r="B146" t="s">
        <v>291</v>
      </c>
      <c r="C146">
        <v>27936546.800000001</v>
      </c>
      <c r="D146">
        <v>176</v>
      </c>
      <c r="E146">
        <v>158730.37959999999</v>
      </c>
      <c r="F146" t="e">
        <f>VLOOKUP(A146, BIOSIM_REF!$A:$E, 3, FALSE)</f>
        <v>#N/A</v>
      </c>
      <c r="G146" t="e">
        <f>VLOOKUP(A146, BIOSIM_REF!$A:$E, 4, FALSE)</f>
        <v>#N/A</v>
      </c>
      <c r="H146" t="e">
        <f>VLOOKUP(A146, BIOSIM_REF!$A:$E, 5, FALSE)</f>
        <v>#N/A</v>
      </c>
    </row>
    <row r="147" spans="1:8" hidden="1" x14ac:dyDescent="0.25">
      <c r="A147" s="1" t="s">
        <v>1421</v>
      </c>
      <c r="B147" t="s">
        <v>1545</v>
      </c>
      <c r="C147">
        <v>27803163.32</v>
      </c>
      <c r="D147">
        <v>32679</v>
      </c>
      <c r="E147">
        <v>850.79602560000001</v>
      </c>
      <c r="F147" t="e">
        <f>VLOOKUP(A147, BIOSIM_REF!$A:$E, 3, FALSE)</f>
        <v>#N/A</v>
      </c>
      <c r="G147" t="e">
        <f>VLOOKUP(A147, BIOSIM_REF!$A:$E, 4, FALSE)</f>
        <v>#N/A</v>
      </c>
      <c r="H147" t="e">
        <f>VLOOKUP(A147, BIOSIM_REF!$A:$E, 5, FALSE)</f>
        <v>#N/A</v>
      </c>
    </row>
    <row r="148" spans="1:8" hidden="1" x14ac:dyDescent="0.25">
      <c r="A148" s="1" t="s">
        <v>293</v>
      </c>
      <c r="B148" t="s">
        <v>294</v>
      </c>
      <c r="C148">
        <v>27094729.050000001</v>
      </c>
      <c r="D148">
        <v>107</v>
      </c>
      <c r="E148">
        <v>253221.76680000001</v>
      </c>
      <c r="F148" t="e">
        <f>VLOOKUP(A148, BIOSIM_REF!$A:$E, 3, FALSE)</f>
        <v>#N/A</v>
      </c>
      <c r="G148" t="e">
        <f>VLOOKUP(A148, BIOSIM_REF!$A:$E, 4, FALSE)</f>
        <v>#N/A</v>
      </c>
      <c r="H148" t="e">
        <f>VLOOKUP(A148, BIOSIM_REF!$A:$E, 5, FALSE)</f>
        <v>#N/A</v>
      </c>
    </row>
    <row r="149" spans="1:8" hidden="1" x14ac:dyDescent="0.25">
      <c r="A149" s="1">
        <v>90686</v>
      </c>
      <c r="B149" t="s">
        <v>295</v>
      </c>
      <c r="C149">
        <v>26785304.370000001</v>
      </c>
      <c r="D149">
        <v>1272306</v>
      </c>
      <c r="E149">
        <v>21.052564690000001</v>
      </c>
      <c r="F149" t="e">
        <f>VLOOKUP(A149, BIOSIM_REF!$A:$E, 3, FALSE)</f>
        <v>#N/A</v>
      </c>
      <c r="G149" t="e">
        <f>VLOOKUP(A149, BIOSIM_REF!$A:$E, 4, FALSE)</f>
        <v>#N/A</v>
      </c>
      <c r="H149" t="e">
        <f>VLOOKUP(A149, BIOSIM_REF!$A:$E, 5, FALSE)</f>
        <v>#N/A</v>
      </c>
    </row>
    <row r="150" spans="1:8" x14ac:dyDescent="0.25">
      <c r="A150" s="2" t="s">
        <v>1352</v>
      </c>
      <c r="B150" s="3" t="s">
        <v>1602</v>
      </c>
      <c r="C150" s="3">
        <v>1127418.1599999999</v>
      </c>
      <c r="D150" s="3">
        <v>4543</v>
      </c>
      <c r="E150" s="3">
        <v>248.1660048</v>
      </c>
      <c r="F150" s="3" t="str">
        <f>VLOOKUP(A150, BIOSIM_REF!$A:$E, 3, FALSE)</f>
        <v>N</v>
      </c>
      <c r="G150" s="3" t="str">
        <f>VLOOKUP(A150, BIOSIM_REF!$A:$E, 4, FALSE)</f>
        <v>PROCRIT</v>
      </c>
      <c r="H150" s="3" t="str">
        <f>VLOOKUP(A150, BIOSIM_REF!$A:$E, 5, FALSE)</f>
        <v>Y</v>
      </c>
    </row>
    <row r="151" spans="1:8" hidden="1" x14ac:dyDescent="0.25">
      <c r="A151" s="1" t="s">
        <v>1422</v>
      </c>
      <c r="B151" t="s">
        <v>1547</v>
      </c>
      <c r="C151">
        <v>26431754.32</v>
      </c>
      <c r="D151">
        <v>299</v>
      </c>
      <c r="E151">
        <v>88400.51612</v>
      </c>
      <c r="F151" t="e">
        <f>VLOOKUP(A151, BIOSIM_REF!$A:$E, 3, FALSE)</f>
        <v>#N/A</v>
      </c>
      <c r="G151" t="e">
        <f>VLOOKUP(A151, BIOSIM_REF!$A:$E, 4, FALSE)</f>
        <v>#N/A</v>
      </c>
      <c r="H151" t="e">
        <f>VLOOKUP(A151, BIOSIM_REF!$A:$E, 5, FALSE)</f>
        <v>#N/A</v>
      </c>
    </row>
    <row r="152" spans="1:8" hidden="1" x14ac:dyDescent="0.25">
      <c r="A152" s="1" t="s">
        <v>1423</v>
      </c>
      <c r="B152" t="s">
        <v>1548</v>
      </c>
      <c r="C152">
        <v>25073291.899999999</v>
      </c>
      <c r="D152">
        <v>599</v>
      </c>
      <c r="E152">
        <v>41858.584139999999</v>
      </c>
      <c r="F152" t="e">
        <f>VLOOKUP(A152, BIOSIM_REF!$A:$E, 3, FALSE)</f>
        <v>#N/A</v>
      </c>
      <c r="G152" t="e">
        <f>VLOOKUP(A152, BIOSIM_REF!$A:$E, 4, FALSE)</f>
        <v>#N/A</v>
      </c>
      <c r="H152" t="e">
        <f>VLOOKUP(A152, BIOSIM_REF!$A:$E, 5, FALSE)</f>
        <v>#N/A</v>
      </c>
    </row>
    <row r="153" spans="1:8" hidden="1" x14ac:dyDescent="0.25">
      <c r="A153" s="1" t="s">
        <v>1424</v>
      </c>
      <c r="B153" t="s">
        <v>1549</v>
      </c>
      <c r="C153">
        <v>25067596.359999999</v>
      </c>
      <c r="D153">
        <v>324</v>
      </c>
      <c r="E153">
        <v>77369.12457</v>
      </c>
      <c r="F153" t="e">
        <f>VLOOKUP(A153, BIOSIM_REF!$A:$E, 3, FALSE)</f>
        <v>#N/A</v>
      </c>
      <c r="G153" t="e">
        <f>VLOOKUP(A153, BIOSIM_REF!$A:$E, 4, FALSE)</f>
        <v>#N/A</v>
      </c>
      <c r="H153" t="e">
        <f>VLOOKUP(A153, BIOSIM_REF!$A:$E, 5, FALSE)</f>
        <v>#N/A</v>
      </c>
    </row>
    <row r="154" spans="1:8" hidden="1" x14ac:dyDescent="0.25">
      <c r="A154" s="1" t="s">
        <v>1425</v>
      </c>
      <c r="B154" t="s">
        <v>1550</v>
      </c>
      <c r="C154">
        <v>24116608.75</v>
      </c>
      <c r="D154">
        <v>478</v>
      </c>
      <c r="E154">
        <v>50453.15638</v>
      </c>
      <c r="F154" t="e">
        <f>VLOOKUP(A154, BIOSIM_REF!$A:$E, 3, FALSE)</f>
        <v>#N/A</v>
      </c>
      <c r="G154" t="e">
        <f>VLOOKUP(A154, BIOSIM_REF!$A:$E, 4, FALSE)</f>
        <v>#N/A</v>
      </c>
      <c r="H154" t="e">
        <f>VLOOKUP(A154, BIOSIM_REF!$A:$E, 5, FALSE)</f>
        <v>#N/A</v>
      </c>
    </row>
    <row r="155" spans="1:8" hidden="1" x14ac:dyDescent="0.25">
      <c r="A155" s="1" t="s">
        <v>298</v>
      </c>
      <c r="B155" t="s">
        <v>300</v>
      </c>
      <c r="C155">
        <v>23819755.050000001</v>
      </c>
      <c r="D155">
        <v>7180</v>
      </c>
      <c r="E155">
        <v>3317.514631</v>
      </c>
      <c r="F155" t="e">
        <f>VLOOKUP(A155, BIOSIM_REF!$A:$E, 3, FALSE)</f>
        <v>#N/A</v>
      </c>
      <c r="G155" t="e">
        <f>VLOOKUP(A155, BIOSIM_REF!$A:$E, 4, FALSE)</f>
        <v>#N/A</v>
      </c>
      <c r="H155" t="e">
        <f>VLOOKUP(A155, BIOSIM_REF!$A:$E, 5, FALSE)</f>
        <v>#N/A</v>
      </c>
    </row>
    <row r="156" spans="1:8" hidden="1" x14ac:dyDescent="0.25">
      <c r="A156" s="1" t="s">
        <v>299</v>
      </c>
      <c r="B156" t="s">
        <v>301</v>
      </c>
      <c r="C156">
        <v>23369415.460000001</v>
      </c>
      <c r="D156">
        <v>49302</v>
      </c>
      <c r="E156">
        <v>474.00542489999998</v>
      </c>
      <c r="F156" t="e">
        <f>VLOOKUP(A156, BIOSIM_REF!$A:$E, 3, FALSE)</f>
        <v>#N/A</v>
      </c>
      <c r="G156" t="e">
        <f>VLOOKUP(A156, BIOSIM_REF!$A:$E, 4, FALSE)</f>
        <v>#N/A</v>
      </c>
      <c r="H156" t="e">
        <f>VLOOKUP(A156, BIOSIM_REF!$A:$E, 5, FALSE)</f>
        <v>#N/A</v>
      </c>
    </row>
    <row r="157" spans="1:8" hidden="1" x14ac:dyDescent="0.25">
      <c r="A157" s="1" t="s">
        <v>1426</v>
      </c>
      <c r="B157" t="s">
        <v>1551</v>
      </c>
      <c r="C157">
        <v>22765670.93</v>
      </c>
      <c r="D157">
        <v>7823</v>
      </c>
      <c r="E157">
        <v>2910.0947120000001</v>
      </c>
      <c r="F157" t="e">
        <f>VLOOKUP(A157, BIOSIM_REF!$A:$E, 3, FALSE)</f>
        <v>#N/A</v>
      </c>
      <c r="G157" t="e">
        <f>VLOOKUP(A157, BIOSIM_REF!$A:$E, 4, FALSE)</f>
        <v>#N/A</v>
      </c>
      <c r="H157" t="e">
        <f>VLOOKUP(A157, BIOSIM_REF!$A:$E, 5, FALSE)</f>
        <v>#N/A</v>
      </c>
    </row>
    <row r="158" spans="1:8" hidden="1" x14ac:dyDescent="0.25">
      <c r="A158" s="1" t="s">
        <v>304</v>
      </c>
      <c r="B158" t="s">
        <v>305</v>
      </c>
      <c r="C158">
        <v>22539700.710000001</v>
      </c>
      <c r="D158">
        <v>459</v>
      </c>
      <c r="E158">
        <v>49106.101770000001</v>
      </c>
      <c r="F158" t="e">
        <f>VLOOKUP(A158, BIOSIM_REF!$A:$E, 3, FALSE)</f>
        <v>#N/A</v>
      </c>
      <c r="G158" t="e">
        <f>VLOOKUP(A158, BIOSIM_REF!$A:$E, 4, FALSE)</f>
        <v>#N/A</v>
      </c>
      <c r="H158" t="e">
        <f>VLOOKUP(A158, BIOSIM_REF!$A:$E, 5, FALSE)</f>
        <v>#N/A</v>
      </c>
    </row>
    <row r="159" spans="1:8" hidden="1" x14ac:dyDescent="0.25">
      <c r="A159" s="1">
        <v>90682</v>
      </c>
      <c r="B159" t="s">
        <v>306</v>
      </c>
      <c r="C159">
        <v>22034217.93</v>
      </c>
      <c r="D159">
        <v>356294</v>
      </c>
      <c r="E159">
        <v>61.842798170000002</v>
      </c>
      <c r="F159" t="e">
        <f>VLOOKUP(A159, BIOSIM_REF!$A:$E, 3, FALSE)</f>
        <v>#N/A</v>
      </c>
      <c r="G159" t="e">
        <f>VLOOKUP(A159, BIOSIM_REF!$A:$E, 4, FALSE)</f>
        <v>#N/A</v>
      </c>
      <c r="H159" t="e">
        <f>VLOOKUP(A159, BIOSIM_REF!$A:$E, 5, FALSE)</f>
        <v>#N/A</v>
      </c>
    </row>
    <row r="160" spans="1:8" hidden="1" x14ac:dyDescent="0.25">
      <c r="A160" s="1" t="s">
        <v>1427</v>
      </c>
      <c r="B160" t="s">
        <v>1552</v>
      </c>
      <c r="C160">
        <v>21888389.800000001</v>
      </c>
      <c r="D160">
        <v>6659</v>
      </c>
      <c r="E160">
        <v>3287.038564</v>
      </c>
      <c r="F160" t="e">
        <f>VLOOKUP(A160, BIOSIM_REF!$A:$E, 3, FALSE)</f>
        <v>#N/A</v>
      </c>
      <c r="G160" t="e">
        <f>VLOOKUP(A160, BIOSIM_REF!$A:$E, 4, FALSE)</f>
        <v>#N/A</v>
      </c>
      <c r="H160" t="e">
        <f>VLOOKUP(A160, BIOSIM_REF!$A:$E, 5, FALSE)</f>
        <v>#N/A</v>
      </c>
    </row>
    <row r="161" spans="1:8" hidden="1" x14ac:dyDescent="0.25">
      <c r="A161" s="1" t="s">
        <v>309</v>
      </c>
      <c r="B161" t="s">
        <v>315</v>
      </c>
      <c r="C161">
        <v>21749113.359999999</v>
      </c>
      <c r="D161">
        <v>155</v>
      </c>
      <c r="E161">
        <v>140316.86040000001</v>
      </c>
      <c r="F161" t="e">
        <f>VLOOKUP(A161, BIOSIM_REF!$A:$E, 3, FALSE)</f>
        <v>#N/A</v>
      </c>
      <c r="G161" t="e">
        <f>VLOOKUP(A161, BIOSIM_REF!$A:$E, 4, FALSE)</f>
        <v>#N/A</v>
      </c>
      <c r="H161" t="e">
        <f>VLOOKUP(A161, BIOSIM_REF!$A:$E, 5, FALSE)</f>
        <v>#N/A</v>
      </c>
    </row>
    <row r="162" spans="1:8" hidden="1" x14ac:dyDescent="0.25">
      <c r="A162" s="1" t="s">
        <v>310</v>
      </c>
      <c r="B162" t="s">
        <v>316</v>
      </c>
      <c r="C162">
        <v>20790960.739999998</v>
      </c>
      <c r="D162">
        <v>8046</v>
      </c>
      <c r="E162">
        <v>2584.0120230000002</v>
      </c>
      <c r="F162" t="e">
        <f>VLOOKUP(A162, BIOSIM_REF!$A:$E, 3, FALSE)</f>
        <v>#N/A</v>
      </c>
      <c r="G162" t="e">
        <f>VLOOKUP(A162, BIOSIM_REF!$A:$E, 4, FALSE)</f>
        <v>#N/A</v>
      </c>
      <c r="H162" t="e">
        <f>VLOOKUP(A162, BIOSIM_REF!$A:$E, 5, FALSE)</f>
        <v>#N/A</v>
      </c>
    </row>
    <row r="163" spans="1:8" hidden="1" x14ac:dyDescent="0.25">
      <c r="A163" s="1" t="s">
        <v>311</v>
      </c>
      <c r="B163" t="s">
        <v>317</v>
      </c>
      <c r="C163">
        <v>19742375.280000001</v>
      </c>
      <c r="D163">
        <v>3289</v>
      </c>
      <c r="E163">
        <v>6002.5464519999996</v>
      </c>
      <c r="F163" t="e">
        <f>VLOOKUP(A163, BIOSIM_REF!$A:$E, 3, FALSE)</f>
        <v>#N/A</v>
      </c>
      <c r="G163" t="e">
        <f>VLOOKUP(A163, BIOSIM_REF!$A:$E, 4, FALSE)</f>
        <v>#N/A</v>
      </c>
      <c r="H163" t="e">
        <f>VLOOKUP(A163, BIOSIM_REF!$A:$E, 5, FALSE)</f>
        <v>#N/A</v>
      </c>
    </row>
    <row r="164" spans="1:8" hidden="1" x14ac:dyDescent="0.25">
      <c r="A164" s="1" t="s">
        <v>312</v>
      </c>
      <c r="B164" t="s">
        <v>318</v>
      </c>
      <c r="C164">
        <v>19592905.300000001</v>
      </c>
      <c r="D164">
        <v>8992</v>
      </c>
      <c r="E164">
        <v>2178.926301</v>
      </c>
      <c r="F164" t="e">
        <f>VLOOKUP(A164, BIOSIM_REF!$A:$E, 3, FALSE)</f>
        <v>#N/A</v>
      </c>
      <c r="G164" t="e">
        <f>VLOOKUP(A164, BIOSIM_REF!$A:$E, 4, FALSE)</f>
        <v>#N/A</v>
      </c>
      <c r="H164" t="e">
        <f>VLOOKUP(A164, BIOSIM_REF!$A:$E, 5, FALSE)</f>
        <v>#N/A</v>
      </c>
    </row>
    <row r="165" spans="1:8" hidden="1" x14ac:dyDescent="0.25">
      <c r="A165" s="1" t="s">
        <v>313</v>
      </c>
      <c r="B165" t="s">
        <v>319</v>
      </c>
      <c r="C165">
        <v>19374146.18</v>
      </c>
      <c r="D165">
        <v>125</v>
      </c>
      <c r="E165">
        <v>154993.16940000001</v>
      </c>
      <c r="F165" t="e">
        <f>VLOOKUP(A165, BIOSIM_REF!$A:$E, 3, FALSE)</f>
        <v>#N/A</v>
      </c>
      <c r="G165" t="e">
        <f>VLOOKUP(A165, BIOSIM_REF!$A:$E, 4, FALSE)</f>
        <v>#N/A</v>
      </c>
      <c r="H165" t="e">
        <f>VLOOKUP(A165, BIOSIM_REF!$A:$E, 5, FALSE)</f>
        <v>#N/A</v>
      </c>
    </row>
    <row r="166" spans="1:8" hidden="1" x14ac:dyDescent="0.25">
      <c r="A166" s="1" t="s">
        <v>314</v>
      </c>
      <c r="B166" t="s">
        <v>320</v>
      </c>
      <c r="C166">
        <v>19241339.010000002</v>
      </c>
      <c r="D166">
        <v>45056</v>
      </c>
      <c r="E166">
        <v>427.05386650000003</v>
      </c>
      <c r="F166" t="e">
        <f>VLOOKUP(A166, BIOSIM_REF!$A:$E, 3, FALSE)</f>
        <v>#N/A</v>
      </c>
      <c r="G166" t="e">
        <f>VLOOKUP(A166, BIOSIM_REF!$A:$E, 4, FALSE)</f>
        <v>#N/A</v>
      </c>
      <c r="H166" t="e">
        <f>VLOOKUP(A166, BIOSIM_REF!$A:$E, 5, FALSE)</f>
        <v>#N/A</v>
      </c>
    </row>
    <row r="167" spans="1:8" x14ac:dyDescent="0.25">
      <c r="A167" s="2" t="s">
        <v>1129</v>
      </c>
      <c r="B167" s="3" t="s">
        <v>1156</v>
      </c>
      <c r="C167" s="3">
        <v>14004.02</v>
      </c>
      <c r="D167" s="3">
        <v>21</v>
      </c>
      <c r="E167" s="3">
        <v>666.85809519999998</v>
      </c>
      <c r="F167" s="3" t="str">
        <f>VLOOKUP(A167, BIOSIM_REF!$A:$E, 3, FALSE)</f>
        <v>Y</v>
      </c>
      <c r="G167" s="3" t="str">
        <f>VLOOKUP(A167, BIOSIM_REF!$A:$E, 4, FALSE)</f>
        <v>PROCRIT</v>
      </c>
      <c r="H167" s="3" t="str">
        <f>VLOOKUP(A167, BIOSIM_REF!$A:$E, 5, FALSE)</f>
        <v>N</v>
      </c>
    </row>
    <row r="168" spans="1:8" hidden="1" x14ac:dyDescent="0.25">
      <c r="A168" s="1" t="s">
        <v>326</v>
      </c>
      <c r="B168" t="s">
        <v>332</v>
      </c>
      <c r="C168">
        <v>18737692.949999999</v>
      </c>
      <c r="D168">
        <v>1458</v>
      </c>
      <c r="E168">
        <v>12851.64126</v>
      </c>
      <c r="F168" t="e">
        <f>VLOOKUP(A168, BIOSIM_REF!$A:$E, 3, FALSE)</f>
        <v>#N/A</v>
      </c>
      <c r="G168" t="e">
        <f>VLOOKUP(A168, BIOSIM_REF!$A:$E, 4, FALSE)</f>
        <v>#N/A</v>
      </c>
      <c r="H168" t="e">
        <f>VLOOKUP(A168, BIOSIM_REF!$A:$E, 5, FALSE)</f>
        <v>#N/A</v>
      </c>
    </row>
    <row r="169" spans="1:8" x14ac:dyDescent="0.25">
      <c r="A169" s="2" t="s">
        <v>32</v>
      </c>
      <c r="B169" s="3" t="s">
        <v>39</v>
      </c>
      <c r="C169" s="3">
        <v>512621924.30000001</v>
      </c>
      <c r="D169" s="3">
        <v>41903</v>
      </c>
      <c r="E169" s="3">
        <v>12233.537560000001</v>
      </c>
      <c r="F169" s="3" t="str">
        <f>VLOOKUP(A169, BIOSIM_REF!$A:$E, 3, FALSE)</f>
        <v>Y</v>
      </c>
      <c r="G169" s="3" t="str">
        <f>VLOOKUP(A169, BIOSIM_REF!$A:$E, 4, FALSE)</f>
        <v>REMICADE</v>
      </c>
      <c r="H169" s="3" t="str">
        <f>VLOOKUP(A169, BIOSIM_REF!$A:$E, 5, FALSE)</f>
        <v>N</v>
      </c>
    </row>
    <row r="170" spans="1:8" hidden="1" x14ac:dyDescent="0.25">
      <c r="A170" s="1" t="s">
        <v>328</v>
      </c>
      <c r="B170" t="s">
        <v>334</v>
      </c>
      <c r="C170">
        <v>18573468.699999999</v>
      </c>
      <c r="D170">
        <v>1503</v>
      </c>
      <c r="E170">
        <v>12357.59727</v>
      </c>
      <c r="F170" t="e">
        <f>VLOOKUP(A170, BIOSIM_REF!$A:$E, 3, FALSE)</f>
        <v>#N/A</v>
      </c>
      <c r="G170" t="e">
        <f>VLOOKUP(A170, BIOSIM_REF!$A:$E, 4, FALSE)</f>
        <v>#N/A</v>
      </c>
      <c r="H170" t="e">
        <f>VLOOKUP(A170, BIOSIM_REF!$A:$E, 5, FALSE)</f>
        <v>#N/A</v>
      </c>
    </row>
    <row r="171" spans="1:8" hidden="1" x14ac:dyDescent="0.25">
      <c r="A171" s="1" t="s">
        <v>329</v>
      </c>
      <c r="B171" t="s">
        <v>335</v>
      </c>
      <c r="C171">
        <v>18199047.710000001</v>
      </c>
      <c r="D171">
        <v>25636</v>
      </c>
      <c r="E171">
        <v>709.90200149999998</v>
      </c>
      <c r="F171" t="e">
        <f>VLOOKUP(A171, BIOSIM_REF!$A:$E, 3, FALSE)</f>
        <v>#N/A</v>
      </c>
      <c r="G171" t="e">
        <f>VLOOKUP(A171, BIOSIM_REF!$A:$E, 4, FALSE)</f>
        <v>#N/A</v>
      </c>
      <c r="H171" t="e">
        <f>VLOOKUP(A171, BIOSIM_REF!$A:$E, 5, FALSE)</f>
        <v>#N/A</v>
      </c>
    </row>
    <row r="172" spans="1:8" hidden="1" x14ac:dyDescent="0.25">
      <c r="A172" s="1" t="s">
        <v>330</v>
      </c>
      <c r="B172" t="s">
        <v>336</v>
      </c>
      <c r="C172">
        <v>18178464.5</v>
      </c>
      <c r="D172">
        <v>12396</v>
      </c>
      <c r="E172">
        <v>1466.478259</v>
      </c>
      <c r="F172" t="e">
        <f>VLOOKUP(A172, BIOSIM_REF!$A:$E, 3, FALSE)</f>
        <v>#N/A</v>
      </c>
      <c r="G172" t="e">
        <f>VLOOKUP(A172, BIOSIM_REF!$A:$E, 4, FALSE)</f>
        <v>#N/A</v>
      </c>
      <c r="H172" t="e">
        <f>VLOOKUP(A172, BIOSIM_REF!$A:$E, 5, FALSE)</f>
        <v>#N/A</v>
      </c>
    </row>
    <row r="173" spans="1:8" hidden="1" x14ac:dyDescent="0.25">
      <c r="A173" s="1" t="s">
        <v>331</v>
      </c>
      <c r="B173" t="s">
        <v>337</v>
      </c>
      <c r="C173">
        <v>17953540.559999999</v>
      </c>
      <c r="D173">
        <v>2173</v>
      </c>
      <c r="E173">
        <v>8262.0987389999991</v>
      </c>
      <c r="F173" t="e">
        <f>VLOOKUP(A173, BIOSIM_REF!$A:$E, 3, FALSE)</f>
        <v>#N/A</v>
      </c>
      <c r="G173" t="e">
        <f>VLOOKUP(A173, BIOSIM_REF!$A:$E, 4, FALSE)</f>
        <v>#N/A</v>
      </c>
      <c r="H173" t="e">
        <f>VLOOKUP(A173, BIOSIM_REF!$A:$E, 5, FALSE)</f>
        <v>#N/A</v>
      </c>
    </row>
    <row r="174" spans="1:8" hidden="1" x14ac:dyDescent="0.25">
      <c r="A174" s="1" t="s">
        <v>1428</v>
      </c>
      <c r="B174" t="s">
        <v>1554</v>
      </c>
      <c r="C174">
        <v>17804768.390000001</v>
      </c>
      <c r="D174">
        <v>46</v>
      </c>
      <c r="E174">
        <v>387060.18239999999</v>
      </c>
      <c r="F174" t="e">
        <f>VLOOKUP(A174, BIOSIM_REF!$A:$E, 3, FALSE)</f>
        <v>#N/A</v>
      </c>
      <c r="G174" t="e">
        <f>VLOOKUP(A174, BIOSIM_REF!$A:$E, 4, FALSE)</f>
        <v>#N/A</v>
      </c>
      <c r="H174" t="e">
        <f>VLOOKUP(A174, BIOSIM_REF!$A:$E, 5, FALSE)</f>
        <v>#N/A</v>
      </c>
    </row>
    <row r="175" spans="1:8" hidden="1" x14ac:dyDescent="0.25">
      <c r="A175" s="1" t="s">
        <v>343</v>
      </c>
      <c r="B175" t="s">
        <v>345</v>
      </c>
      <c r="C175">
        <v>17098175.18</v>
      </c>
      <c r="D175">
        <v>1850482</v>
      </c>
      <c r="E175">
        <v>9.239849499</v>
      </c>
      <c r="F175" t="e">
        <f>VLOOKUP(A175, BIOSIM_REF!$A:$E, 3, FALSE)</f>
        <v>#N/A</v>
      </c>
      <c r="G175" t="e">
        <f>VLOOKUP(A175, BIOSIM_REF!$A:$E, 4, FALSE)</f>
        <v>#N/A</v>
      </c>
      <c r="H175" t="e">
        <f>VLOOKUP(A175, BIOSIM_REF!$A:$E, 5, FALSE)</f>
        <v>#N/A</v>
      </c>
    </row>
    <row r="176" spans="1:8" hidden="1" x14ac:dyDescent="0.25">
      <c r="A176" s="1" t="s">
        <v>344</v>
      </c>
      <c r="B176" t="s">
        <v>346</v>
      </c>
      <c r="C176">
        <v>17020133.18</v>
      </c>
      <c r="D176">
        <v>751</v>
      </c>
      <c r="E176">
        <v>22663.293180000001</v>
      </c>
      <c r="F176" t="e">
        <f>VLOOKUP(A176, BIOSIM_REF!$A:$E, 3, FALSE)</f>
        <v>#N/A</v>
      </c>
      <c r="G176" t="e">
        <f>VLOOKUP(A176, BIOSIM_REF!$A:$E, 4, FALSE)</f>
        <v>#N/A</v>
      </c>
      <c r="H176" t="e">
        <f>VLOOKUP(A176, BIOSIM_REF!$A:$E, 5, FALSE)</f>
        <v>#N/A</v>
      </c>
    </row>
    <row r="177" spans="1:8" hidden="1" x14ac:dyDescent="0.25">
      <c r="A177" s="1" t="s">
        <v>1429</v>
      </c>
      <c r="B177" t="s">
        <v>1555</v>
      </c>
      <c r="C177">
        <v>16830600.75</v>
      </c>
      <c r="D177">
        <v>129</v>
      </c>
      <c r="E177">
        <v>130469.7733</v>
      </c>
      <c r="F177" t="e">
        <f>VLOOKUP(A177, BIOSIM_REF!$A:$E, 3, FALSE)</f>
        <v>#N/A</v>
      </c>
      <c r="G177" t="e">
        <f>VLOOKUP(A177, BIOSIM_REF!$A:$E, 4, FALSE)</f>
        <v>#N/A</v>
      </c>
      <c r="H177" t="e">
        <f>VLOOKUP(A177, BIOSIM_REF!$A:$E, 5, FALSE)</f>
        <v>#N/A</v>
      </c>
    </row>
    <row r="178" spans="1:8" hidden="1" x14ac:dyDescent="0.25">
      <c r="A178" s="1" t="s">
        <v>348</v>
      </c>
      <c r="B178" t="s">
        <v>358</v>
      </c>
      <c r="C178">
        <v>16766234.73</v>
      </c>
      <c r="D178">
        <v>390</v>
      </c>
      <c r="E178">
        <v>42990.345459999997</v>
      </c>
      <c r="F178" t="e">
        <f>VLOOKUP(A178, BIOSIM_REF!$A:$E, 3, FALSE)</f>
        <v>#N/A</v>
      </c>
      <c r="G178" t="e">
        <f>VLOOKUP(A178, BIOSIM_REF!$A:$E, 4, FALSE)</f>
        <v>#N/A</v>
      </c>
      <c r="H178" t="e">
        <f>VLOOKUP(A178, BIOSIM_REF!$A:$E, 5, FALSE)</f>
        <v>#N/A</v>
      </c>
    </row>
    <row r="179" spans="1:8" hidden="1" x14ac:dyDescent="0.25">
      <c r="A179" s="1" t="s">
        <v>349</v>
      </c>
      <c r="B179" t="s">
        <v>359</v>
      </c>
      <c r="C179">
        <v>16231025.73</v>
      </c>
      <c r="D179">
        <v>10372</v>
      </c>
      <c r="E179">
        <v>1564.8887130000001</v>
      </c>
      <c r="F179" t="e">
        <f>VLOOKUP(A179, BIOSIM_REF!$A:$E, 3, FALSE)</f>
        <v>#N/A</v>
      </c>
      <c r="G179" t="e">
        <f>VLOOKUP(A179, BIOSIM_REF!$A:$E, 4, FALSE)</f>
        <v>#N/A</v>
      </c>
      <c r="H179" t="e">
        <f>VLOOKUP(A179, BIOSIM_REF!$A:$E, 5, FALSE)</f>
        <v>#N/A</v>
      </c>
    </row>
    <row r="180" spans="1:8" x14ac:dyDescent="0.25">
      <c r="A180" s="2" t="s">
        <v>1360</v>
      </c>
      <c r="B180" s="3" t="s">
        <v>1529</v>
      </c>
      <c r="C180" s="3">
        <v>71993954.760000005</v>
      </c>
      <c r="D180" s="3">
        <v>7268</v>
      </c>
      <c r="E180" s="3">
        <v>9905.6074239999998</v>
      </c>
      <c r="F180" s="3" t="str">
        <f>VLOOKUP(A180, BIOSIM_REF!$A:$E, 3, FALSE)</f>
        <v>N</v>
      </c>
      <c r="G180" s="3" t="str">
        <f>VLOOKUP(A180, BIOSIM_REF!$A:$E, 4, FALSE)</f>
        <v>REMICADE</v>
      </c>
      <c r="H180" s="3" t="str">
        <f>VLOOKUP(A180, BIOSIM_REF!$A:$E, 5, FALSE)</f>
        <v>Y</v>
      </c>
    </row>
    <row r="181" spans="1:8" hidden="1" x14ac:dyDescent="0.25">
      <c r="A181" s="1" t="s">
        <v>351</v>
      </c>
      <c r="B181" t="s">
        <v>361</v>
      </c>
      <c r="C181">
        <v>15634280.16</v>
      </c>
      <c r="D181">
        <v>19898</v>
      </c>
      <c r="E181">
        <v>785.72118609999995</v>
      </c>
      <c r="F181" t="e">
        <f>VLOOKUP(A181, BIOSIM_REF!$A:$E, 3, FALSE)</f>
        <v>#N/A</v>
      </c>
      <c r="G181" t="e">
        <f>VLOOKUP(A181, BIOSIM_REF!$A:$E, 4, FALSE)</f>
        <v>#N/A</v>
      </c>
      <c r="H181" t="e">
        <f>VLOOKUP(A181, BIOSIM_REF!$A:$E, 5, FALSE)</f>
        <v>#N/A</v>
      </c>
    </row>
    <row r="182" spans="1:8" hidden="1" x14ac:dyDescent="0.25">
      <c r="A182" s="1" t="s">
        <v>352</v>
      </c>
      <c r="B182" t="s">
        <v>362</v>
      </c>
      <c r="C182">
        <v>15538436.630000001</v>
      </c>
      <c r="D182">
        <v>594874</v>
      </c>
      <c r="E182">
        <v>26.120550959999999</v>
      </c>
      <c r="F182" t="e">
        <f>VLOOKUP(A182, BIOSIM_REF!$A:$E, 3, FALSE)</f>
        <v>#N/A</v>
      </c>
      <c r="G182" t="e">
        <f>VLOOKUP(A182, BIOSIM_REF!$A:$E, 4, FALSE)</f>
        <v>#N/A</v>
      </c>
      <c r="H182" t="e">
        <f>VLOOKUP(A182, BIOSIM_REF!$A:$E, 5, FALSE)</f>
        <v>#N/A</v>
      </c>
    </row>
    <row r="183" spans="1:8" hidden="1" x14ac:dyDescent="0.25">
      <c r="A183" s="1" t="s">
        <v>353</v>
      </c>
      <c r="B183" t="s">
        <v>363</v>
      </c>
      <c r="C183">
        <v>15288868.26</v>
      </c>
      <c r="D183">
        <v>5144</v>
      </c>
      <c r="E183">
        <v>2972.1750120000002</v>
      </c>
      <c r="F183" t="e">
        <f>VLOOKUP(A183, BIOSIM_REF!$A:$E, 3, FALSE)</f>
        <v>#N/A</v>
      </c>
      <c r="G183" t="e">
        <f>VLOOKUP(A183, BIOSIM_REF!$A:$E, 4, FALSE)</f>
        <v>#N/A</v>
      </c>
      <c r="H183" t="e">
        <f>VLOOKUP(A183, BIOSIM_REF!$A:$E, 5, FALSE)</f>
        <v>#N/A</v>
      </c>
    </row>
    <row r="184" spans="1:8" hidden="1" x14ac:dyDescent="0.25">
      <c r="A184" s="1" t="s">
        <v>354</v>
      </c>
      <c r="B184" t="s">
        <v>364</v>
      </c>
      <c r="C184">
        <v>15124882.039999999</v>
      </c>
      <c r="D184">
        <v>73</v>
      </c>
      <c r="E184">
        <v>207190.1649</v>
      </c>
      <c r="F184" t="e">
        <f>VLOOKUP(A184, BIOSIM_REF!$A:$E, 3, FALSE)</f>
        <v>#N/A</v>
      </c>
      <c r="G184" t="e">
        <f>VLOOKUP(A184, BIOSIM_REF!$A:$E, 4, FALSE)</f>
        <v>#N/A</v>
      </c>
      <c r="H184" t="e">
        <f>VLOOKUP(A184, BIOSIM_REF!$A:$E, 5, FALSE)</f>
        <v>#N/A</v>
      </c>
    </row>
    <row r="185" spans="1:8" hidden="1" x14ac:dyDescent="0.25">
      <c r="A185" s="1" t="s">
        <v>355</v>
      </c>
      <c r="B185" t="s">
        <v>365</v>
      </c>
      <c r="C185">
        <v>14826932.529999999</v>
      </c>
      <c r="D185">
        <v>3546</v>
      </c>
      <c r="E185">
        <v>4181.3120500000005</v>
      </c>
      <c r="F185" t="e">
        <f>VLOOKUP(A185, BIOSIM_REF!$A:$E, 3, FALSE)</f>
        <v>#N/A</v>
      </c>
      <c r="G185" t="e">
        <f>VLOOKUP(A185, BIOSIM_REF!$A:$E, 4, FALSE)</f>
        <v>#N/A</v>
      </c>
      <c r="H185" t="e">
        <f>VLOOKUP(A185, BIOSIM_REF!$A:$E, 5, FALSE)</f>
        <v>#N/A</v>
      </c>
    </row>
    <row r="186" spans="1:8" hidden="1" x14ac:dyDescent="0.25">
      <c r="A186" s="1" t="s">
        <v>356</v>
      </c>
      <c r="B186" t="s">
        <v>366</v>
      </c>
      <c r="C186">
        <v>14674103.460000001</v>
      </c>
      <c r="D186">
        <v>6543</v>
      </c>
      <c r="E186">
        <v>2242.7179369999999</v>
      </c>
      <c r="F186" t="e">
        <f>VLOOKUP(A186, BIOSIM_REF!$A:$E, 3, FALSE)</f>
        <v>#N/A</v>
      </c>
      <c r="G186" t="e">
        <f>VLOOKUP(A186, BIOSIM_REF!$A:$E, 4, FALSE)</f>
        <v>#N/A</v>
      </c>
      <c r="H186" t="e">
        <f>VLOOKUP(A186, BIOSIM_REF!$A:$E, 5, FALSE)</f>
        <v>#N/A</v>
      </c>
    </row>
    <row r="187" spans="1:8" hidden="1" x14ac:dyDescent="0.25">
      <c r="A187" s="1" t="s">
        <v>357</v>
      </c>
      <c r="B187" t="s">
        <v>367</v>
      </c>
      <c r="C187">
        <v>14563312.199999999</v>
      </c>
      <c r="D187">
        <v>412</v>
      </c>
      <c r="E187">
        <v>35347.845150000001</v>
      </c>
      <c r="F187" t="e">
        <f>VLOOKUP(A187, BIOSIM_REF!$A:$E, 3, FALSE)</f>
        <v>#N/A</v>
      </c>
      <c r="G187" t="e">
        <f>VLOOKUP(A187, BIOSIM_REF!$A:$E, 4, FALSE)</f>
        <v>#N/A</v>
      </c>
      <c r="H187" t="e">
        <f>VLOOKUP(A187, BIOSIM_REF!$A:$E, 5, FALSE)</f>
        <v>#N/A</v>
      </c>
    </row>
    <row r="188" spans="1:8" hidden="1" x14ac:dyDescent="0.25">
      <c r="A188" s="1" t="s">
        <v>1430</v>
      </c>
      <c r="B188" t="s">
        <v>1556</v>
      </c>
      <c r="C188">
        <v>14412378.26</v>
      </c>
      <c r="D188">
        <v>20165</v>
      </c>
      <c r="E188">
        <v>714.72245280000004</v>
      </c>
      <c r="F188" t="e">
        <f>VLOOKUP(A188, BIOSIM_REF!$A:$E, 3, FALSE)</f>
        <v>#N/A</v>
      </c>
      <c r="G188" t="e">
        <f>VLOOKUP(A188, BIOSIM_REF!$A:$E, 4, FALSE)</f>
        <v>#N/A</v>
      </c>
      <c r="H188" t="e">
        <f>VLOOKUP(A188, BIOSIM_REF!$A:$E, 5, FALSE)</f>
        <v>#N/A</v>
      </c>
    </row>
    <row r="189" spans="1:8" hidden="1" x14ac:dyDescent="0.25">
      <c r="A189" s="1" t="s">
        <v>1431</v>
      </c>
      <c r="B189" t="s">
        <v>1557</v>
      </c>
      <c r="C189">
        <v>14295748.779999999</v>
      </c>
      <c r="D189">
        <v>71</v>
      </c>
      <c r="E189">
        <v>201348.57440000001</v>
      </c>
      <c r="F189" t="e">
        <f>VLOOKUP(A189, BIOSIM_REF!$A:$E, 3, FALSE)</f>
        <v>#N/A</v>
      </c>
      <c r="G189" t="e">
        <f>VLOOKUP(A189, BIOSIM_REF!$A:$E, 4, FALSE)</f>
        <v>#N/A</v>
      </c>
      <c r="H189" t="e">
        <f>VLOOKUP(A189, BIOSIM_REF!$A:$E, 5, FALSE)</f>
        <v>#N/A</v>
      </c>
    </row>
    <row r="190" spans="1:8" hidden="1" x14ac:dyDescent="0.25">
      <c r="A190" s="1" t="s">
        <v>377</v>
      </c>
      <c r="B190" t="s">
        <v>379</v>
      </c>
      <c r="C190">
        <v>13921517.57</v>
      </c>
      <c r="D190">
        <v>69586</v>
      </c>
      <c r="E190">
        <v>200.06204650000001</v>
      </c>
      <c r="F190" t="e">
        <f>VLOOKUP(A190, BIOSIM_REF!$A:$E, 3, FALSE)</f>
        <v>#N/A</v>
      </c>
      <c r="G190" t="e">
        <f>VLOOKUP(A190, BIOSIM_REF!$A:$E, 4, FALSE)</f>
        <v>#N/A</v>
      </c>
      <c r="H190" t="e">
        <f>VLOOKUP(A190, BIOSIM_REF!$A:$E, 5, FALSE)</f>
        <v>#N/A</v>
      </c>
    </row>
    <row r="191" spans="1:8" hidden="1" x14ac:dyDescent="0.25">
      <c r="A191" s="1" t="s">
        <v>378</v>
      </c>
      <c r="B191" t="s">
        <v>380</v>
      </c>
      <c r="C191">
        <v>13796620.52</v>
      </c>
      <c r="D191">
        <v>1798</v>
      </c>
      <c r="E191">
        <v>7673.3150830000004</v>
      </c>
      <c r="F191" t="e">
        <f>VLOOKUP(A191, BIOSIM_REF!$A:$E, 3, FALSE)</f>
        <v>#N/A</v>
      </c>
      <c r="G191" t="e">
        <f>VLOOKUP(A191, BIOSIM_REF!$A:$E, 4, FALSE)</f>
        <v>#N/A</v>
      </c>
      <c r="H191" t="e">
        <f>VLOOKUP(A191, BIOSIM_REF!$A:$E, 5, FALSE)</f>
        <v>#N/A</v>
      </c>
    </row>
    <row r="192" spans="1:8" hidden="1" x14ac:dyDescent="0.25">
      <c r="A192" s="1" t="s">
        <v>1432</v>
      </c>
      <c r="B192" t="s">
        <v>1558</v>
      </c>
      <c r="C192">
        <v>13521358.23</v>
      </c>
      <c r="D192">
        <v>52</v>
      </c>
      <c r="E192">
        <v>260026.11979999999</v>
      </c>
      <c r="F192" t="e">
        <f>VLOOKUP(A192, BIOSIM_REF!$A:$E, 3, FALSE)</f>
        <v>#N/A</v>
      </c>
      <c r="G192" t="e">
        <f>VLOOKUP(A192, BIOSIM_REF!$A:$E, 4, FALSE)</f>
        <v>#N/A</v>
      </c>
      <c r="H192" t="e">
        <f>VLOOKUP(A192, BIOSIM_REF!$A:$E, 5, FALSE)</f>
        <v>#N/A</v>
      </c>
    </row>
    <row r="193" spans="1:8" hidden="1" x14ac:dyDescent="0.25">
      <c r="A193" s="1">
        <v>90674</v>
      </c>
      <c r="B193" t="s">
        <v>384</v>
      </c>
      <c r="C193">
        <v>13428000.52</v>
      </c>
      <c r="D193">
        <v>460331</v>
      </c>
      <c r="E193">
        <v>29.17031553</v>
      </c>
      <c r="F193" t="e">
        <f>VLOOKUP(A193, BIOSIM_REF!$A:$E, 3, FALSE)</f>
        <v>#N/A</v>
      </c>
      <c r="G193" t="e">
        <f>VLOOKUP(A193, BIOSIM_REF!$A:$E, 4, FALSE)</f>
        <v>#N/A</v>
      </c>
      <c r="H193" t="e">
        <f>VLOOKUP(A193, BIOSIM_REF!$A:$E, 5, FALSE)</f>
        <v>#N/A</v>
      </c>
    </row>
    <row r="194" spans="1:8" hidden="1" x14ac:dyDescent="0.25">
      <c r="A194" s="1" t="s">
        <v>383</v>
      </c>
      <c r="B194" t="s">
        <v>385</v>
      </c>
      <c r="C194">
        <v>13358292.039999999</v>
      </c>
      <c r="D194">
        <v>363</v>
      </c>
      <c r="E194">
        <v>36799.702590000001</v>
      </c>
      <c r="F194" t="e">
        <f>VLOOKUP(A194, BIOSIM_REF!$A:$E, 3, FALSE)</f>
        <v>#N/A</v>
      </c>
      <c r="G194" t="e">
        <f>VLOOKUP(A194, BIOSIM_REF!$A:$E, 4, FALSE)</f>
        <v>#N/A</v>
      </c>
      <c r="H194" t="e">
        <f>VLOOKUP(A194, BIOSIM_REF!$A:$E, 5, FALSE)</f>
        <v>#N/A</v>
      </c>
    </row>
    <row r="195" spans="1:8" hidden="1" x14ac:dyDescent="0.25">
      <c r="A195" s="1" t="s">
        <v>1433</v>
      </c>
      <c r="B195" t="s">
        <v>1559</v>
      </c>
      <c r="C195">
        <v>13254350.859999999</v>
      </c>
      <c r="D195">
        <v>22</v>
      </c>
      <c r="E195">
        <v>602470.49360000005</v>
      </c>
      <c r="F195" t="e">
        <f>VLOOKUP(A195, BIOSIM_REF!$A:$E, 3, FALSE)</f>
        <v>#N/A</v>
      </c>
      <c r="G195" t="e">
        <f>VLOOKUP(A195, BIOSIM_REF!$A:$E, 4, FALSE)</f>
        <v>#N/A</v>
      </c>
      <c r="H195" t="e">
        <f>VLOOKUP(A195, BIOSIM_REF!$A:$E, 5, FALSE)</f>
        <v>#N/A</v>
      </c>
    </row>
    <row r="196" spans="1:8" hidden="1" x14ac:dyDescent="0.25">
      <c r="A196" s="1" t="s">
        <v>1434</v>
      </c>
      <c r="B196" t="s">
        <v>1560</v>
      </c>
      <c r="C196">
        <v>13124538.73</v>
      </c>
      <c r="D196">
        <v>4256</v>
      </c>
      <c r="E196">
        <v>3083.7731979999999</v>
      </c>
      <c r="F196" t="e">
        <f>VLOOKUP(A196, BIOSIM_REF!$A:$E, 3, FALSE)</f>
        <v>#N/A</v>
      </c>
      <c r="G196" t="e">
        <f>VLOOKUP(A196, BIOSIM_REF!$A:$E, 4, FALSE)</f>
        <v>#N/A</v>
      </c>
      <c r="H196" t="e">
        <f>VLOOKUP(A196, BIOSIM_REF!$A:$E, 5, FALSE)</f>
        <v>#N/A</v>
      </c>
    </row>
    <row r="197" spans="1:8" hidden="1" x14ac:dyDescent="0.25">
      <c r="A197" s="1" t="s">
        <v>388</v>
      </c>
      <c r="B197" t="s">
        <v>389</v>
      </c>
      <c r="C197">
        <v>13123767.68</v>
      </c>
      <c r="D197">
        <v>178</v>
      </c>
      <c r="E197">
        <v>73729.031910000005</v>
      </c>
      <c r="F197" t="e">
        <f>VLOOKUP(A197, BIOSIM_REF!$A:$E, 3, FALSE)</f>
        <v>#N/A</v>
      </c>
      <c r="G197" t="e">
        <f>VLOOKUP(A197, BIOSIM_REF!$A:$E, 4, FALSE)</f>
        <v>#N/A</v>
      </c>
      <c r="H197" t="e">
        <f>VLOOKUP(A197, BIOSIM_REF!$A:$E, 5, FALSE)</f>
        <v>#N/A</v>
      </c>
    </row>
    <row r="198" spans="1:8" hidden="1" x14ac:dyDescent="0.25">
      <c r="A198" s="1" t="s">
        <v>1435</v>
      </c>
      <c r="B198" t="s">
        <v>1561</v>
      </c>
      <c r="C198">
        <v>12936886.289999999</v>
      </c>
      <c r="D198">
        <v>2236</v>
      </c>
      <c r="E198">
        <v>5785.7273210000003</v>
      </c>
      <c r="F198" t="e">
        <f>VLOOKUP(A198, BIOSIM_REF!$A:$E, 3, FALSE)</f>
        <v>#N/A</v>
      </c>
      <c r="G198" t="e">
        <f>VLOOKUP(A198, BIOSIM_REF!$A:$E, 4, FALSE)</f>
        <v>#N/A</v>
      </c>
      <c r="H198" t="e">
        <f>VLOOKUP(A198, BIOSIM_REF!$A:$E, 5, FALSE)</f>
        <v>#N/A</v>
      </c>
    </row>
    <row r="199" spans="1:8" hidden="1" x14ac:dyDescent="0.25">
      <c r="A199" s="1" t="s">
        <v>391</v>
      </c>
      <c r="B199" t="s">
        <v>393</v>
      </c>
      <c r="C199">
        <v>12224204.390000001</v>
      </c>
      <c r="D199">
        <v>961271</v>
      </c>
      <c r="E199">
        <v>12.716709850000001</v>
      </c>
      <c r="F199" t="e">
        <f>VLOOKUP(A199, BIOSIM_REF!$A:$E, 3, FALSE)</f>
        <v>#N/A</v>
      </c>
      <c r="G199" t="e">
        <f>VLOOKUP(A199, BIOSIM_REF!$A:$E, 4, FALSE)</f>
        <v>#N/A</v>
      </c>
      <c r="H199" t="e">
        <f>VLOOKUP(A199, BIOSIM_REF!$A:$E, 5, FALSE)</f>
        <v>#N/A</v>
      </c>
    </row>
    <row r="200" spans="1:8" hidden="1" x14ac:dyDescent="0.25">
      <c r="A200" s="1" t="s">
        <v>392</v>
      </c>
      <c r="B200" t="s">
        <v>394</v>
      </c>
      <c r="C200">
        <v>12107604.02</v>
      </c>
      <c r="D200">
        <v>633512</v>
      </c>
      <c r="E200">
        <v>19.111877939999999</v>
      </c>
      <c r="F200" t="e">
        <f>VLOOKUP(A200, BIOSIM_REF!$A:$E, 3, FALSE)</f>
        <v>#N/A</v>
      </c>
      <c r="G200" t="e">
        <f>VLOOKUP(A200, BIOSIM_REF!$A:$E, 4, FALSE)</f>
        <v>#N/A</v>
      </c>
      <c r="H200" t="e">
        <f>VLOOKUP(A200, BIOSIM_REF!$A:$E, 5, FALSE)</f>
        <v>#N/A</v>
      </c>
    </row>
    <row r="201" spans="1:8" hidden="1" x14ac:dyDescent="0.25">
      <c r="A201" s="1" t="s">
        <v>1436</v>
      </c>
      <c r="B201" t="s">
        <v>1562</v>
      </c>
      <c r="C201">
        <v>12048141.789999999</v>
      </c>
      <c r="D201">
        <v>669</v>
      </c>
      <c r="E201">
        <v>18009.180550000001</v>
      </c>
      <c r="F201" t="e">
        <f>VLOOKUP(A201, BIOSIM_REF!$A:$E, 3, FALSE)</f>
        <v>#N/A</v>
      </c>
      <c r="G201" t="e">
        <f>VLOOKUP(A201, BIOSIM_REF!$A:$E, 4, FALSE)</f>
        <v>#N/A</v>
      </c>
      <c r="H201" t="e">
        <f>VLOOKUP(A201, BIOSIM_REF!$A:$E, 5, FALSE)</f>
        <v>#N/A</v>
      </c>
    </row>
    <row r="202" spans="1:8" hidden="1" x14ac:dyDescent="0.25">
      <c r="A202" s="1" t="s">
        <v>1437</v>
      </c>
      <c r="B202" t="s">
        <v>1563</v>
      </c>
      <c r="C202">
        <v>11992514.59</v>
      </c>
      <c r="D202">
        <v>2621</v>
      </c>
      <c r="E202">
        <v>4575.5492519999998</v>
      </c>
      <c r="F202" t="e">
        <f>VLOOKUP(A202, BIOSIM_REF!$A:$E, 3, FALSE)</f>
        <v>#N/A</v>
      </c>
      <c r="G202" t="e">
        <f>VLOOKUP(A202, BIOSIM_REF!$A:$E, 4, FALSE)</f>
        <v>#N/A</v>
      </c>
      <c r="H202" t="e">
        <f>VLOOKUP(A202, BIOSIM_REF!$A:$E, 5, FALSE)</f>
        <v>#N/A</v>
      </c>
    </row>
    <row r="203" spans="1:8" x14ac:dyDescent="0.25">
      <c r="A203" s="2" t="s">
        <v>1356</v>
      </c>
      <c r="B203" s="3" t="s">
        <v>1537</v>
      </c>
      <c r="C203" s="3">
        <v>51022399.509999998</v>
      </c>
      <c r="D203" s="3">
        <v>5358</v>
      </c>
      <c r="E203" s="3">
        <v>9522.6576170000008</v>
      </c>
      <c r="F203" s="3" t="str">
        <f>VLOOKUP(A203, BIOSIM_REF!$A:$E, 3, FALSE)</f>
        <v>N</v>
      </c>
      <c r="G203" s="3" t="str">
        <f>VLOOKUP(A203, BIOSIM_REF!$A:$E, 4, FALSE)</f>
        <v>REMICADE</v>
      </c>
      <c r="H203" s="3" t="str">
        <f>VLOOKUP(A203, BIOSIM_REF!$A:$E, 5, FALSE)</f>
        <v>Y</v>
      </c>
    </row>
    <row r="204" spans="1:8" hidden="1" x14ac:dyDescent="0.25">
      <c r="A204" s="1" t="s">
        <v>396</v>
      </c>
      <c r="B204" t="s">
        <v>398</v>
      </c>
      <c r="C204">
        <v>11637215.27</v>
      </c>
      <c r="D204">
        <v>907807</v>
      </c>
      <c r="E204">
        <v>12.81904113</v>
      </c>
      <c r="F204" t="e">
        <f>VLOOKUP(A204, BIOSIM_REF!$A:$E, 3, FALSE)</f>
        <v>#N/A</v>
      </c>
      <c r="G204" t="e">
        <f>VLOOKUP(A204, BIOSIM_REF!$A:$E, 4, FALSE)</f>
        <v>#N/A</v>
      </c>
      <c r="H204" t="e">
        <f>VLOOKUP(A204, BIOSIM_REF!$A:$E, 5, FALSE)</f>
        <v>#N/A</v>
      </c>
    </row>
    <row r="205" spans="1:8" hidden="1" x14ac:dyDescent="0.25">
      <c r="A205" s="1" t="s">
        <v>397</v>
      </c>
      <c r="B205" t="s">
        <v>399</v>
      </c>
      <c r="C205">
        <v>11402564.529999999</v>
      </c>
      <c r="D205">
        <v>445</v>
      </c>
      <c r="E205">
        <v>25623.740519999999</v>
      </c>
      <c r="F205" t="e">
        <f>VLOOKUP(A205, BIOSIM_REF!$A:$E, 3, FALSE)</f>
        <v>#N/A</v>
      </c>
      <c r="G205" t="e">
        <f>VLOOKUP(A205, BIOSIM_REF!$A:$E, 4, FALSE)</f>
        <v>#N/A</v>
      </c>
      <c r="H205" t="e">
        <f>VLOOKUP(A205, BIOSIM_REF!$A:$E, 5, FALSE)</f>
        <v>#N/A</v>
      </c>
    </row>
    <row r="206" spans="1:8" x14ac:dyDescent="0.25">
      <c r="A206" s="2" t="s">
        <v>1358</v>
      </c>
      <c r="B206" s="3" t="s">
        <v>1568</v>
      </c>
      <c r="C206" s="3">
        <v>9946500.2200000007</v>
      </c>
      <c r="D206" s="3">
        <v>1175</v>
      </c>
      <c r="E206" s="3">
        <v>8465.1065699999999</v>
      </c>
      <c r="F206" s="3" t="str">
        <f>VLOOKUP(A206, BIOSIM_REF!$A:$E, 3, FALSE)</f>
        <v>N</v>
      </c>
      <c r="G206" s="3" t="str">
        <f>VLOOKUP(A206, BIOSIM_REF!$A:$E, 4, FALSE)</f>
        <v>REMICADE</v>
      </c>
      <c r="H206" s="3" t="str">
        <f>VLOOKUP(A206, BIOSIM_REF!$A:$E, 5, FALSE)</f>
        <v>Y</v>
      </c>
    </row>
    <row r="207" spans="1:8" hidden="1" x14ac:dyDescent="0.25">
      <c r="A207" s="1" t="s">
        <v>402</v>
      </c>
      <c r="B207" t="s">
        <v>404</v>
      </c>
      <c r="C207">
        <v>11030313.26</v>
      </c>
      <c r="D207">
        <v>3291</v>
      </c>
      <c r="E207">
        <v>3351.660061</v>
      </c>
      <c r="F207" t="e">
        <f>VLOOKUP(A207, BIOSIM_REF!$A:$E, 3, FALSE)</f>
        <v>#N/A</v>
      </c>
      <c r="G207" t="e">
        <f>VLOOKUP(A207, BIOSIM_REF!$A:$E, 4, FALSE)</f>
        <v>#N/A</v>
      </c>
      <c r="H207" t="e">
        <f>VLOOKUP(A207, BIOSIM_REF!$A:$E, 5, FALSE)</f>
        <v>#N/A</v>
      </c>
    </row>
    <row r="208" spans="1:8" hidden="1" x14ac:dyDescent="0.25">
      <c r="A208" s="1">
        <v>90747</v>
      </c>
      <c r="B208" t="s">
        <v>405</v>
      </c>
      <c r="C208">
        <v>10899188.24</v>
      </c>
      <c r="D208">
        <v>36862</v>
      </c>
      <c r="E208">
        <v>295.67544459999999</v>
      </c>
      <c r="F208" t="e">
        <f>VLOOKUP(A208, BIOSIM_REF!$A:$E, 3, FALSE)</f>
        <v>#N/A</v>
      </c>
      <c r="G208" t="e">
        <f>VLOOKUP(A208, BIOSIM_REF!$A:$E, 4, FALSE)</f>
        <v>#N/A</v>
      </c>
      <c r="H208" t="e">
        <f>VLOOKUP(A208, BIOSIM_REF!$A:$E, 5, FALSE)</f>
        <v>#N/A</v>
      </c>
    </row>
    <row r="209" spans="1:8" hidden="1" x14ac:dyDescent="0.25">
      <c r="A209" s="1" t="s">
        <v>403</v>
      </c>
      <c r="B209" t="s">
        <v>406</v>
      </c>
      <c r="C209">
        <v>10756964.32</v>
      </c>
      <c r="D209">
        <v>241222</v>
      </c>
      <c r="E209">
        <v>44.593628770000002</v>
      </c>
      <c r="F209" t="e">
        <f>VLOOKUP(A209, BIOSIM_REF!$A:$E, 3, FALSE)</f>
        <v>#N/A</v>
      </c>
      <c r="G209" t="e">
        <f>VLOOKUP(A209, BIOSIM_REF!$A:$E, 4, FALSE)</f>
        <v>#N/A</v>
      </c>
      <c r="H209" t="e">
        <f>VLOOKUP(A209, BIOSIM_REF!$A:$E, 5, FALSE)</f>
        <v>#N/A</v>
      </c>
    </row>
    <row r="210" spans="1:8" hidden="1" x14ac:dyDescent="0.25">
      <c r="A210" s="1" t="s">
        <v>1438</v>
      </c>
      <c r="B210" t="s">
        <v>1566</v>
      </c>
      <c r="C210">
        <v>10731531.689999999</v>
      </c>
      <c r="D210">
        <v>35</v>
      </c>
      <c r="E210">
        <v>306615.1911</v>
      </c>
      <c r="F210" t="e">
        <f>VLOOKUP(A210, BIOSIM_REF!$A:$E, 3, FALSE)</f>
        <v>#N/A</v>
      </c>
      <c r="G210" t="e">
        <f>VLOOKUP(A210, BIOSIM_REF!$A:$E, 4, FALSE)</f>
        <v>#N/A</v>
      </c>
      <c r="H210" t="e">
        <f>VLOOKUP(A210, BIOSIM_REF!$A:$E, 5, FALSE)</f>
        <v>#N/A</v>
      </c>
    </row>
    <row r="211" spans="1:8" hidden="1" x14ac:dyDescent="0.25">
      <c r="A211" s="1" t="s">
        <v>1439</v>
      </c>
      <c r="B211" t="s">
        <v>1567</v>
      </c>
      <c r="C211">
        <v>10718885.51</v>
      </c>
      <c r="D211">
        <v>23625</v>
      </c>
      <c r="E211">
        <v>453.7094396</v>
      </c>
      <c r="F211" t="e">
        <f>VLOOKUP(A211, BIOSIM_REF!$A:$E, 3, FALSE)</f>
        <v>#N/A</v>
      </c>
      <c r="G211" t="e">
        <f>VLOOKUP(A211, BIOSIM_REF!$A:$E, 4, FALSE)</f>
        <v>#N/A</v>
      </c>
      <c r="H211" t="e">
        <f>VLOOKUP(A211, BIOSIM_REF!$A:$E, 5, FALSE)</f>
        <v>#N/A</v>
      </c>
    </row>
    <row r="212" spans="1:8" hidden="1" x14ac:dyDescent="0.25">
      <c r="A212" s="1" t="s">
        <v>410</v>
      </c>
      <c r="B212" t="s">
        <v>412</v>
      </c>
      <c r="C212">
        <v>10407420.01</v>
      </c>
      <c r="D212">
        <v>2944</v>
      </c>
      <c r="E212">
        <v>3535.1290800000002</v>
      </c>
      <c r="F212" t="e">
        <f>VLOOKUP(A212, BIOSIM_REF!$A:$E, 3, FALSE)</f>
        <v>#N/A</v>
      </c>
      <c r="G212" t="e">
        <f>VLOOKUP(A212, BIOSIM_REF!$A:$E, 4, FALSE)</f>
        <v>#N/A</v>
      </c>
      <c r="H212" t="e">
        <f>VLOOKUP(A212, BIOSIM_REF!$A:$E, 5, FALSE)</f>
        <v>#N/A</v>
      </c>
    </row>
    <row r="213" spans="1:8" hidden="1" x14ac:dyDescent="0.25">
      <c r="A213" s="1" t="s">
        <v>411</v>
      </c>
      <c r="B213" t="s">
        <v>413</v>
      </c>
      <c r="C213">
        <v>10328014.58</v>
      </c>
      <c r="D213">
        <v>4794</v>
      </c>
      <c r="E213">
        <v>2154.362658</v>
      </c>
      <c r="F213" t="e">
        <f>VLOOKUP(A213, BIOSIM_REF!$A:$E, 3, FALSE)</f>
        <v>#N/A</v>
      </c>
      <c r="G213" t="e">
        <f>VLOOKUP(A213, BIOSIM_REF!$A:$E, 4, FALSE)</f>
        <v>#N/A</v>
      </c>
      <c r="H213" t="e">
        <f>VLOOKUP(A213, BIOSIM_REF!$A:$E, 5, FALSE)</f>
        <v>#N/A</v>
      </c>
    </row>
    <row r="214" spans="1:8" x14ac:dyDescent="0.25">
      <c r="A214" s="2" t="s">
        <v>1364</v>
      </c>
      <c r="B214" s="3" t="s">
        <v>1499</v>
      </c>
      <c r="C214" s="3">
        <v>765560205.60000002</v>
      </c>
      <c r="D214" s="3">
        <v>36383</v>
      </c>
      <c r="E214" s="3">
        <v>21041.700949999999</v>
      </c>
      <c r="F214" s="3" t="str">
        <f>VLOOKUP(A214, BIOSIM_REF!$A:$E, 3, FALSE)</f>
        <v>Y</v>
      </c>
      <c r="G214" s="3" t="str">
        <f>VLOOKUP(A214, BIOSIM_REF!$A:$E, 4, FALSE)</f>
        <v>RITUXAN</v>
      </c>
      <c r="H214" s="3" t="str">
        <f>VLOOKUP(A214, BIOSIM_REF!$A:$E, 5, FALSE)</f>
        <v>N</v>
      </c>
    </row>
    <row r="215" spans="1:8" hidden="1" x14ac:dyDescent="0.25">
      <c r="A215" s="1" t="s">
        <v>415</v>
      </c>
      <c r="B215" t="s">
        <v>416</v>
      </c>
      <c r="C215">
        <v>9797354.5700000003</v>
      </c>
      <c r="D215">
        <v>3006</v>
      </c>
      <c r="E215">
        <v>3259.2663240000002</v>
      </c>
      <c r="F215" t="e">
        <f>VLOOKUP(A215, BIOSIM_REF!$A:$E, 3, FALSE)</f>
        <v>#N/A</v>
      </c>
      <c r="G215" t="e">
        <f>VLOOKUP(A215, BIOSIM_REF!$A:$E, 4, FALSE)</f>
        <v>#N/A</v>
      </c>
      <c r="H215" t="e">
        <f>VLOOKUP(A215, BIOSIM_REF!$A:$E, 5, FALSE)</f>
        <v>#N/A</v>
      </c>
    </row>
    <row r="216" spans="1:8" hidden="1" x14ac:dyDescent="0.25">
      <c r="A216" s="1" t="s">
        <v>1440</v>
      </c>
      <c r="B216" t="s">
        <v>1569</v>
      </c>
      <c r="C216">
        <v>9742060.1600000001</v>
      </c>
      <c r="D216">
        <v>40</v>
      </c>
      <c r="E216">
        <v>243551.50399999999</v>
      </c>
      <c r="F216" t="e">
        <f>VLOOKUP(A216, BIOSIM_REF!$A:$E, 3, FALSE)</f>
        <v>#N/A</v>
      </c>
      <c r="G216" t="e">
        <f>VLOOKUP(A216, BIOSIM_REF!$A:$E, 4, FALSE)</f>
        <v>#N/A</v>
      </c>
      <c r="H216" t="e">
        <f>VLOOKUP(A216, BIOSIM_REF!$A:$E, 5, FALSE)</f>
        <v>#N/A</v>
      </c>
    </row>
    <row r="217" spans="1:8" hidden="1" x14ac:dyDescent="0.25">
      <c r="A217" s="1" t="s">
        <v>418</v>
      </c>
      <c r="B217" t="s">
        <v>421</v>
      </c>
      <c r="C217">
        <v>9594245.4000000004</v>
      </c>
      <c r="D217">
        <v>26</v>
      </c>
      <c r="E217">
        <v>369009.43849999999</v>
      </c>
      <c r="F217" t="e">
        <f>VLOOKUP(A217, BIOSIM_REF!$A:$E, 3, FALSE)</f>
        <v>#N/A</v>
      </c>
      <c r="G217" t="e">
        <f>VLOOKUP(A217, BIOSIM_REF!$A:$E, 4, FALSE)</f>
        <v>#N/A</v>
      </c>
      <c r="H217" t="e">
        <f>VLOOKUP(A217, BIOSIM_REF!$A:$E, 5, FALSE)</f>
        <v>#N/A</v>
      </c>
    </row>
    <row r="218" spans="1:8" hidden="1" x14ac:dyDescent="0.25">
      <c r="A218" s="1" t="s">
        <v>419</v>
      </c>
      <c r="B218" t="s">
        <v>422</v>
      </c>
      <c r="C218">
        <v>9494399.9000000004</v>
      </c>
      <c r="D218">
        <v>835</v>
      </c>
      <c r="E218">
        <v>11370.5388</v>
      </c>
      <c r="F218" t="e">
        <f>VLOOKUP(A218, BIOSIM_REF!$A:$E, 3, FALSE)</f>
        <v>#N/A</v>
      </c>
      <c r="G218" t="e">
        <f>VLOOKUP(A218, BIOSIM_REF!$A:$E, 4, FALSE)</f>
        <v>#N/A</v>
      </c>
      <c r="H218" t="e">
        <f>VLOOKUP(A218, BIOSIM_REF!$A:$E, 5, FALSE)</f>
        <v>#N/A</v>
      </c>
    </row>
    <row r="219" spans="1:8" hidden="1" x14ac:dyDescent="0.25">
      <c r="A219" s="1" t="s">
        <v>420</v>
      </c>
      <c r="B219" t="s">
        <v>423</v>
      </c>
      <c r="C219">
        <v>9056752.8800000008</v>
      </c>
      <c r="D219">
        <v>308</v>
      </c>
      <c r="E219">
        <v>29405.041819999999</v>
      </c>
      <c r="F219" t="e">
        <f>VLOOKUP(A219, BIOSIM_REF!$A:$E, 3, FALSE)</f>
        <v>#N/A</v>
      </c>
      <c r="G219" t="e">
        <f>VLOOKUP(A219, BIOSIM_REF!$A:$E, 4, FALSE)</f>
        <v>#N/A</v>
      </c>
      <c r="H219" t="e">
        <f>VLOOKUP(A219, BIOSIM_REF!$A:$E, 5, FALSE)</f>
        <v>#N/A</v>
      </c>
    </row>
    <row r="220" spans="1:8" hidden="1" x14ac:dyDescent="0.25">
      <c r="A220" s="1">
        <v>90756</v>
      </c>
      <c r="B220" t="s">
        <v>1570</v>
      </c>
      <c r="C220">
        <v>9055138.1099999994</v>
      </c>
      <c r="D220">
        <v>286298</v>
      </c>
      <c r="E220">
        <v>31.628366629999999</v>
      </c>
      <c r="F220" t="e">
        <f>VLOOKUP(A220, BIOSIM_REF!$A:$E, 3, FALSE)</f>
        <v>#N/A</v>
      </c>
      <c r="G220" t="e">
        <f>VLOOKUP(A220, BIOSIM_REF!$A:$E, 4, FALSE)</f>
        <v>#N/A</v>
      </c>
      <c r="H220" t="e">
        <f>VLOOKUP(A220, BIOSIM_REF!$A:$E, 5, FALSE)</f>
        <v>#N/A</v>
      </c>
    </row>
    <row r="221" spans="1:8" hidden="1" x14ac:dyDescent="0.25">
      <c r="A221" s="1" t="s">
        <v>427</v>
      </c>
      <c r="B221" t="s">
        <v>431</v>
      </c>
      <c r="C221">
        <v>9054511.25</v>
      </c>
      <c r="D221">
        <v>20</v>
      </c>
      <c r="E221">
        <v>452725.5625</v>
      </c>
      <c r="F221" t="e">
        <f>VLOOKUP(A221, BIOSIM_REF!$A:$E, 3, FALSE)</f>
        <v>#N/A</v>
      </c>
      <c r="G221" t="e">
        <f>VLOOKUP(A221, BIOSIM_REF!$A:$E, 4, FALSE)</f>
        <v>#N/A</v>
      </c>
      <c r="H221" t="e">
        <f>VLOOKUP(A221, BIOSIM_REF!$A:$E, 5, FALSE)</f>
        <v>#N/A</v>
      </c>
    </row>
    <row r="222" spans="1:8" hidden="1" x14ac:dyDescent="0.25">
      <c r="A222" s="1" t="s">
        <v>428</v>
      </c>
      <c r="B222" t="s">
        <v>432</v>
      </c>
      <c r="C222">
        <v>9049780.0800000001</v>
      </c>
      <c r="D222">
        <v>65</v>
      </c>
      <c r="E222">
        <v>139227.38589999999</v>
      </c>
      <c r="F222" t="e">
        <f>VLOOKUP(A222, BIOSIM_REF!$A:$E, 3, FALSE)</f>
        <v>#N/A</v>
      </c>
      <c r="G222" t="e">
        <f>VLOOKUP(A222, BIOSIM_REF!$A:$E, 4, FALSE)</f>
        <v>#N/A</v>
      </c>
      <c r="H222" t="e">
        <f>VLOOKUP(A222, BIOSIM_REF!$A:$E, 5, FALSE)</f>
        <v>#N/A</v>
      </c>
    </row>
    <row r="223" spans="1:8" hidden="1" x14ac:dyDescent="0.25">
      <c r="A223" s="1" t="s">
        <v>429</v>
      </c>
      <c r="B223" t="s">
        <v>433</v>
      </c>
      <c r="C223">
        <v>8867928.1899999995</v>
      </c>
      <c r="D223">
        <v>24913</v>
      </c>
      <c r="E223">
        <v>355.95585399999999</v>
      </c>
      <c r="F223" t="e">
        <f>VLOOKUP(A223, BIOSIM_REF!$A:$E, 3, FALSE)</f>
        <v>#N/A</v>
      </c>
      <c r="G223" t="e">
        <f>VLOOKUP(A223, BIOSIM_REF!$A:$E, 4, FALSE)</f>
        <v>#N/A</v>
      </c>
      <c r="H223" t="e">
        <f>VLOOKUP(A223, BIOSIM_REF!$A:$E, 5, FALSE)</f>
        <v>#N/A</v>
      </c>
    </row>
    <row r="224" spans="1:8" hidden="1" x14ac:dyDescent="0.25">
      <c r="A224" s="1" t="s">
        <v>430</v>
      </c>
      <c r="B224" t="s">
        <v>434</v>
      </c>
      <c r="C224">
        <v>8709123.8200000003</v>
      </c>
      <c r="D224">
        <v>42</v>
      </c>
      <c r="E224">
        <v>207360.09099999999</v>
      </c>
      <c r="F224" t="e">
        <f>VLOOKUP(A224, BIOSIM_REF!$A:$E, 3, FALSE)</f>
        <v>#N/A</v>
      </c>
      <c r="G224" t="e">
        <f>VLOOKUP(A224, BIOSIM_REF!$A:$E, 4, FALSE)</f>
        <v>#N/A</v>
      </c>
      <c r="H224" t="e">
        <f>VLOOKUP(A224, BIOSIM_REF!$A:$E, 5, FALSE)</f>
        <v>#N/A</v>
      </c>
    </row>
    <row r="225" spans="1:8" hidden="1" x14ac:dyDescent="0.25">
      <c r="A225" s="1" t="s">
        <v>1441</v>
      </c>
      <c r="B225" t="s">
        <v>1571</v>
      </c>
      <c r="C225">
        <v>8308639.8700000001</v>
      </c>
      <c r="D225">
        <v>76</v>
      </c>
      <c r="E225">
        <v>109324.20879999999</v>
      </c>
      <c r="F225" t="e">
        <f>VLOOKUP(A225, BIOSIM_REF!$A:$E, 3, FALSE)</f>
        <v>#N/A</v>
      </c>
      <c r="G225" t="e">
        <f>VLOOKUP(A225, BIOSIM_REF!$A:$E, 4, FALSE)</f>
        <v>#N/A</v>
      </c>
      <c r="H225" t="e">
        <f>VLOOKUP(A225, BIOSIM_REF!$A:$E, 5, FALSE)</f>
        <v>#N/A</v>
      </c>
    </row>
    <row r="226" spans="1:8" hidden="1" x14ac:dyDescent="0.25">
      <c r="A226" s="1" t="s">
        <v>438</v>
      </c>
      <c r="B226" t="s">
        <v>439</v>
      </c>
      <c r="C226">
        <v>8005094.8399999999</v>
      </c>
      <c r="D226">
        <v>39386</v>
      </c>
      <c r="E226">
        <v>203.24721579999999</v>
      </c>
      <c r="F226" t="e">
        <f>VLOOKUP(A226, BIOSIM_REF!$A:$E, 3, FALSE)</f>
        <v>#N/A</v>
      </c>
      <c r="G226" t="e">
        <f>VLOOKUP(A226, BIOSIM_REF!$A:$E, 4, FALSE)</f>
        <v>#N/A</v>
      </c>
      <c r="H226" t="e">
        <f>VLOOKUP(A226, BIOSIM_REF!$A:$E, 5, FALSE)</f>
        <v>#N/A</v>
      </c>
    </row>
    <row r="227" spans="1:8" hidden="1" x14ac:dyDescent="0.25">
      <c r="A227" s="1" t="s">
        <v>1442</v>
      </c>
      <c r="B227" t="s">
        <v>1572</v>
      </c>
      <c r="C227">
        <v>7940905.4900000002</v>
      </c>
      <c r="D227">
        <v>12</v>
      </c>
      <c r="E227">
        <v>661742.12419999996</v>
      </c>
      <c r="F227" t="e">
        <f>VLOOKUP(A227, BIOSIM_REF!$A:$E, 3, FALSE)</f>
        <v>#N/A</v>
      </c>
      <c r="G227" t="e">
        <f>VLOOKUP(A227, BIOSIM_REF!$A:$E, 4, FALSE)</f>
        <v>#N/A</v>
      </c>
      <c r="H227" t="e">
        <f>VLOOKUP(A227, BIOSIM_REF!$A:$E, 5, FALSE)</f>
        <v>#N/A</v>
      </c>
    </row>
    <row r="228" spans="1:8" hidden="1" x14ac:dyDescent="0.25">
      <c r="A228" s="1" t="s">
        <v>441</v>
      </c>
      <c r="B228" t="s">
        <v>442</v>
      </c>
      <c r="C228">
        <v>7818406.8200000003</v>
      </c>
      <c r="D228">
        <v>285888</v>
      </c>
      <c r="E228">
        <v>27.347796410000001</v>
      </c>
      <c r="F228" t="e">
        <f>VLOOKUP(A228, BIOSIM_REF!$A:$E, 3, FALSE)</f>
        <v>#N/A</v>
      </c>
      <c r="G228" t="e">
        <f>VLOOKUP(A228, BIOSIM_REF!$A:$E, 4, FALSE)</f>
        <v>#N/A</v>
      </c>
      <c r="H228" t="e">
        <f>VLOOKUP(A228, BIOSIM_REF!$A:$E, 5, FALSE)</f>
        <v>#N/A</v>
      </c>
    </row>
    <row r="229" spans="1:8" hidden="1" x14ac:dyDescent="0.25">
      <c r="A229" s="1">
        <v>90375</v>
      </c>
      <c r="B229" t="s">
        <v>443</v>
      </c>
      <c r="C229">
        <v>7771016.3499999996</v>
      </c>
      <c r="D229">
        <v>2868</v>
      </c>
      <c r="E229">
        <v>2709.559397</v>
      </c>
      <c r="F229" t="e">
        <f>VLOOKUP(A229, BIOSIM_REF!$A:$E, 3, FALSE)</f>
        <v>#N/A</v>
      </c>
      <c r="G229" t="e">
        <f>VLOOKUP(A229, BIOSIM_REF!$A:$E, 4, FALSE)</f>
        <v>#N/A</v>
      </c>
      <c r="H229" t="e">
        <f>VLOOKUP(A229, BIOSIM_REF!$A:$E, 5, FALSE)</f>
        <v>#N/A</v>
      </c>
    </row>
    <row r="230" spans="1:8" hidden="1" x14ac:dyDescent="0.25">
      <c r="A230" s="1" t="s">
        <v>1443</v>
      </c>
      <c r="B230" t="s">
        <v>1573</v>
      </c>
      <c r="C230">
        <v>7755186.1900000004</v>
      </c>
      <c r="D230">
        <v>19</v>
      </c>
      <c r="E230">
        <v>408167.69420000003</v>
      </c>
      <c r="F230" t="e">
        <f>VLOOKUP(A230, BIOSIM_REF!$A:$E, 3, FALSE)</f>
        <v>#N/A</v>
      </c>
      <c r="G230" t="e">
        <f>VLOOKUP(A230, BIOSIM_REF!$A:$E, 4, FALSE)</f>
        <v>#N/A</v>
      </c>
      <c r="H230" t="e">
        <f>VLOOKUP(A230, BIOSIM_REF!$A:$E, 5, FALSE)</f>
        <v>#N/A</v>
      </c>
    </row>
    <row r="231" spans="1:8" x14ac:dyDescent="0.25">
      <c r="A231" s="2" t="s">
        <v>1369</v>
      </c>
      <c r="B231" s="3" t="s">
        <v>1505</v>
      </c>
      <c r="C231" s="3">
        <v>288501210.69999999</v>
      </c>
      <c r="D231" s="3">
        <v>16546</v>
      </c>
      <c r="E231" s="3">
        <v>17436.311539999999</v>
      </c>
      <c r="F231" s="3" t="str">
        <f>VLOOKUP(A231, BIOSIM_REF!$A:$E, 3, FALSE)</f>
        <v>N</v>
      </c>
      <c r="G231" s="3" t="str">
        <f>VLOOKUP(A231, BIOSIM_REF!$A:$E, 4, FALSE)</f>
        <v>RITUXAN</v>
      </c>
      <c r="H231" s="3" t="str">
        <f>VLOOKUP(A231, BIOSIM_REF!$A:$E, 5, FALSE)</f>
        <v>Y</v>
      </c>
    </row>
    <row r="232" spans="1:8" hidden="1" x14ac:dyDescent="0.25">
      <c r="A232" s="1" t="s">
        <v>446</v>
      </c>
      <c r="B232" t="s">
        <v>451</v>
      </c>
      <c r="C232">
        <v>7638373.1799999997</v>
      </c>
      <c r="D232">
        <v>58</v>
      </c>
      <c r="E232">
        <v>131696.08929999999</v>
      </c>
      <c r="F232" t="e">
        <f>VLOOKUP(A232, BIOSIM_REF!$A:$E, 3, FALSE)</f>
        <v>#N/A</v>
      </c>
      <c r="G232" t="e">
        <f>VLOOKUP(A232, BIOSIM_REF!$A:$E, 4, FALSE)</f>
        <v>#N/A</v>
      </c>
      <c r="H232" t="e">
        <f>VLOOKUP(A232, BIOSIM_REF!$A:$E, 5, FALSE)</f>
        <v>#N/A</v>
      </c>
    </row>
    <row r="233" spans="1:8" hidden="1" x14ac:dyDescent="0.25">
      <c r="A233" s="1" t="s">
        <v>447</v>
      </c>
      <c r="B233" t="s">
        <v>452</v>
      </c>
      <c r="C233">
        <v>7593699.25</v>
      </c>
      <c r="D233">
        <v>3945</v>
      </c>
      <c r="E233">
        <v>1924.892079</v>
      </c>
      <c r="F233" t="e">
        <f>VLOOKUP(A233, BIOSIM_REF!$A:$E, 3, FALSE)</f>
        <v>#N/A</v>
      </c>
      <c r="G233" t="e">
        <f>VLOOKUP(A233, BIOSIM_REF!$A:$E, 4, FALSE)</f>
        <v>#N/A</v>
      </c>
      <c r="H233" t="e">
        <f>VLOOKUP(A233, BIOSIM_REF!$A:$E, 5, FALSE)</f>
        <v>#N/A</v>
      </c>
    </row>
    <row r="234" spans="1:8" hidden="1" x14ac:dyDescent="0.25">
      <c r="A234" s="1" t="s">
        <v>448</v>
      </c>
      <c r="B234" t="s">
        <v>453</v>
      </c>
      <c r="C234">
        <v>7358267.1399999997</v>
      </c>
      <c r="D234">
        <v>1299</v>
      </c>
      <c r="E234">
        <v>5664.5628479999996</v>
      </c>
      <c r="F234" t="e">
        <f>VLOOKUP(A234, BIOSIM_REF!$A:$E, 3, FALSE)</f>
        <v>#N/A</v>
      </c>
      <c r="G234" t="e">
        <f>VLOOKUP(A234, BIOSIM_REF!$A:$E, 4, FALSE)</f>
        <v>#N/A</v>
      </c>
      <c r="H234" t="e">
        <f>VLOOKUP(A234, BIOSIM_REF!$A:$E, 5, FALSE)</f>
        <v>#N/A</v>
      </c>
    </row>
    <row r="235" spans="1:8" hidden="1" x14ac:dyDescent="0.25">
      <c r="A235" s="1" t="s">
        <v>449</v>
      </c>
      <c r="B235" t="s">
        <v>454</v>
      </c>
      <c r="C235">
        <v>7317113.7599999998</v>
      </c>
      <c r="D235">
        <v>19261</v>
      </c>
      <c r="E235">
        <v>379.89272419999998</v>
      </c>
      <c r="F235" t="e">
        <f>VLOOKUP(A235, BIOSIM_REF!$A:$E, 3, FALSE)</f>
        <v>#N/A</v>
      </c>
      <c r="G235" t="e">
        <f>VLOOKUP(A235, BIOSIM_REF!$A:$E, 4, FALSE)</f>
        <v>#N/A</v>
      </c>
      <c r="H235" t="e">
        <f>VLOOKUP(A235, BIOSIM_REF!$A:$E, 5, FALSE)</f>
        <v>#N/A</v>
      </c>
    </row>
    <row r="236" spans="1:8" hidden="1" x14ac:dyDescent="0.25">
      <c r="A236" s="1">
        <v>90688</v>
      </c>
      <c r="B236" t="s">
        <v>455</v>
      </c>
      <c r="C236">
        <v>7178617.0499999998</v>
      </c>
      <c r="D236">
        <v>336879</v>
      </c>
      <c r="E236">
        <v>21.30918535</v>
      </c>
      <c r="F236" t="e">
        <f>VLOOKUP(A236, BIOSIM_REF!$A:$E, 3, FALSE)</f>
        <v>#N/A</v>
      </c>
      <c r="G236" t="e">
        <f>VLOOKUP(A236, BIOSIM_REF!$A:$E, 4, FALSE)</f>
        <v>#N/A</v>
      </c>
      <c r="H236" t="e">
        <f>VLOOKUP(A236, BIOSIM_REF!$A:$E, 5, FALSE)</f>
        <v>#N/A</v>
      </c>
    </row>
    <row r="237" spans="1:8" hidden="1" x14ac:dyDescent="0.25">
      <c r="A237" s="1" t="s">
        <v>450</v>
      </c>
      <c r="B237" t="s">
        <v>456</v>
      </c>
      <c r="C237">
        <v>7130973.1600000001</v>
      </c>
      <c r="D237">
        <v>56209</v>
      </c>
      <c r="E237">
        <v>126.8653269</v>
      </c>
      <c r="F237" t="e">
        <f>VLOOKUP(A237, BIOSIM_REF!$A:$E, 3, FALSE)</f>
        <v>#N/A</v>
      </c>
      <c r="G237" t="e">
        <f>VLOOKUP(A237, BIOSIM_REF!$A:$E, 4, FALSE)</f>
        <v>#N/A</v>
      </c>
      <c r="H237" t="e">
        <f>VLOOKUP(A237, BIOSIM_REF!$A:$E, 5, FALSE)</f>
        <v>#N/A</v>
      </c>
    </row>
    <row r="238" spans="1:8" hidden="1" x14ac:dyDescent="0.25">
      <c r="A238" s="1" t="s">
        <v>1444</v>
      </c>
      <c r="B238" t="s">
        <v>1575</v>
      </c>
      <c r="C238">
        <v>6898741.6100000003</v>
      </c>
      <c r="F238" t="e">
        <f>VLOOKUP(A238, BIOSIM_REF!$A:$E, 3, FALSE)</f>
        <v>#N/A</v>
      </c>
      <c r="G238" t="e">
        <f>VLOOKUP(A238, BIOSIM_REF!$A:$E, 4, FALSE)</f>
        <v>#N/A</v>
      </c>
      <c r="H238" t="e">
        <f>VLOOKUP(A238, BIOSIM_REF!$A:$E, 5, FALSE)</f>
        <v>#N/A</v>
      </c>
    </row>
    <row r="239" spans="1:8" hidden="1" x14ac:dyDescent="0.25">
      <c r="A239" s="1" t="s">
        <v>463</v>
      </c>
      <c r="B239" t="s">
        <v>466</v>
      </c>
      <c r="C239">
        <v>6881525.2000000002</v>
      </c>
      <c r="D239">
        <v>13281</v>
      </c>
      <c r="E239">
        <v>518.14812140000004</v>
      </c>
      <c r="F239" t="e">
        <f>VLOOKUP(A239, BIOSIM_REF!$A:$E, 3, FALSE)</f>
        <v>#N/A</v>
      </c>
      <c r="G239" t="e">
        <f>VLOOKUP(A239, BIOSIM_REF!$A:$E, 4, FALSE)</f>
        <v>#N/A</v>
      </c>
      <c r="H239" t="e">
        <f>VLOOKUP(A239, BIOSIM_REF!$A:$E, 5, FALSE)</f>
        <v>#N/A</v>
      </c>
    </row>
    <row r="240" spans="1:8" hidden="1" x14ac:dyDescent="0.25">
      <c r="A240" s="1" t="s">
        <v>464</v>
      </c>
      <c r="B240" t="s">
        <v>467</v>
      </c>
      <c r="C240">
        <v>6792125.1399999997</v>
      </c>
      <c r="D240">
        <v>203483</v>
      </c>
      <c r="E240">
        <v>33.379324760000003</v>
      </c>
      <c r="F240" t="e">
        <f>VLOOKUP(A240, BIOSIM_REF!$A:$E, 3, FALSE)</f>
        <v>#N/A</v>
      </c>
      <c r="G240" t="e">
        <f>VLOOKUP(A240, BIOSIM_REF!$A:$E, 4, FALSE)</f>
        <v>#N/A</v>
      </c>
      <c r="H240" t="e">
        <f>VLOOKUP(A240, BIOSIM_REF!$A:$E, 5, FALSE)</f>
        <v>#N/A</v>
      </c>
    </row>
    <row r="241" spans="1:8" hidden="1" x14ac:dyDescent="0.25">
      <c r="A241" s="1">
        <v>90739</v>
      </c>
      <c r="B241" t="s">
        <v>468</v>
      </c>
      <c r="C241">
        <v>6630528.6900000004</v>
      </c>
      <c r="D241">
        <v>25134</v>
      </c>
      <c r="E241">
        <v>263.80714130000001</v>
      </c>
      <c r="F241" t="e">
        <f>VLOOKUP(A241, BIOSIM_REF!$A:$E, 3, FALSE)</f>
        <v>#N/A</v>
      </c>
      <c r="G241" t="e">
        <f>VLOOKUP(A241, BIOSIM_REF!$A:$E, 4, FALSE)</f>
        <v>#N/A</v>
      </c>
      <c r="H241" t="e">
        <f>VLOOKUP(A241, BIOSIM_REF!$A:$E, 5, FALSE)</f>
        <v>#N/A</v>
      </c>
    </row>
    <row r="242" spans="1:8" hidden="1" x14ac:dyDescent="0.25">
      <c r="A242" s="1" t="s">
        <v>465</v>
      </c>
      <c r="B242" t="s">
        <v>469</v>
      </c>
      <c r="C242">
        <v>6456998.9400000004</v>
      </c>
      <c r="D242">
        <v>922</v>
      </c>
      <c r="E242">
        <v>7003.2526459999999</v>
      </c>
      <c r="F242" t="e">
        <f>VLOOKUP(A242, BIOSIM_REF!$A:$E, 3, FALSE)</f>
        <v>#N/A</v>
      </c>
      <c r="G242" t="e">
        <f>VLOOKUP(A242, BIOSIM_REF!$A:$E, 4, FALSE)</f>
        <v>#N/A</v>
      </c>
      <c r="H242" t="e">
        <f>VLOOKUP(A242, BIOSIM_REF!$A:$E, 5, FALSE)</f>
        <v>#N/A</v>
      </c>
    </row>
    <row r="243" spans="1:8" hidden="1" x14ac:dyDescent="0.25">
      <c r="A243" s="1" t="s">
        <v>1445</v>
      </c>
      <c r="B243" t="s">
        <v>1576</v>
      </c>
      <c r="C243">
        <v>6417223.04</v>
      </c>
      <c r="D243">
        <v>190</v>
      </c>
      <c r="E243">
        <v>33774.858110000001</v>
      </c>
      <c r="F243" t="e">
        <f>VLOOKUP(A243, BIOSIM_REF!$A:$E, 3, FALSE)</f>
        <v>#N/A</v>
      </c>
      <c r="G243" t="e">
        <f>VLOOKUP(A243, BIOSIM_REF!$A:$E, 4, FALSE)</f>
        <v>#N/A</v>
      </c>
      <c r="H243" t="e">
        <f>VLOOKUP(A243, BIOSIM_REF!$A:$E, 5, FALSE)</f>
        <v>#N/A</v>
      </c>
    </row>
    <row r="244" spans="1:8" hidden="1" x14ac:dyDescent="0.25">
      <c r="A244" s="1">
        <v>90740</v>
      </c>
      <c r="B244" t="s">
        <v>473</v>
      </c>
      <c r="C244">
        <v>6393447.8799999999</v>
      </c>
      <c r="D244">
        <v>25134</v>
      </c>
      <c r="E244">
        <v>254.3744681</v>
      </c>
      <c r="F244" t="e">
        <f>VLOOKUP(A244, BIOSIM_REF!$A:$E, 3, FALSE)</f>
        <v>#N/A</v>
      </c>
      <c r="G244" t="e">
        <f>VLOOKUP(A244, BIOSIM_REF!$A:$E, 4, FALSE)</f>
        <v>#N/A</v>
      </c>
      <c r="H244" t="e">
        <f>VLOOKUP(A244, BIOSIM_REF!$A:$E, 5, FALSE)</f>
        <v>#N/A</v>
      </c>
    </row>
    <row r="245" spans="1:8" hidden="1" x14ac:dyDescent="0.25">
      <c r="A245" s="1" t="s">
        <v>1446</v>
      </c>
      <c r="B245" t="s">
        <v>1577</v>
      </c>
      <c r="C245">
        <v>6285301.0599999996</v>
      </c>
      <c r="D245">
        <v>585</v>
      </c>
      <c r="E245">
        <v>10744.104380000001</v>
      </c>
      <c r="F245" t="e">
        <f>VLOOKUP(A245, BIOSIM_REF!$A:$E, 3, FALSE)</f>
        <v>#N/A</v>
      </c>
      <c r="G245" t="e">
        <f>VLOOKUP(A245, BIOSIM_REF!$A:$E, 4, FALSE)</f>
        <v>#N/A</v>
      </c>
      <c r="H245" t="e">
        <f>VLOOKUP(A245, BIOSIM_REF!$A:$E, 5, FALSE)</f>
        <v>#N/A</v>
      </c>
    </row>
    <row r="246" spans="1:8" hidden="1" x14ac:dyDescent="0.25">
      <c r="A246" s="1" t="s">
        <v>474</v>
      </c>
      <c r="B246" t="s">
        <v>476</v>
      </c>
      <c r="C246">
        <v>6103025.8399999999</v>
      </c>
      <c r="D246">
        <v>230542</v>
      </c>
      <c r="E246">
        <v>26.472511910000001</v>
      </c>
      <c r="F246" t="e">
        <f>VLOOKUP(A246, BIOSIM_REF!$A:$E, 3, FALSE)</f>
        <v>#N/A</v>
      </c>
      <c r="G246" t="e">
        <f>VLOOKUP(A246, BIOSIM_REF!$A:$E, 4, FALSE)</f>
        <v>#N/A</v>
      </c>
      <c r="H246" t="e">
        <f>VLOOKUP(A246, BIOSIM_REF!$A:$E, 5, FALSE)</f>
        <v>#N/A</v>
      </c>
    </row>
    <row r="247" spans="1:8" hidden="1" x14ac:dyDescent="0.25">
      <c r="A247" s="1" t="s">
        <v>475</v>
      </c>
      <c r="B247" t="s">
        <v>477</v>
      </c>
      <c r="C247">
        <v>6038888.5099999998</v>
      </c>
      <c r="D247">
        <v>78122</v>
      </c>
      <c r="E247">
        <v>77.300741279999997</v>
      </c>
      <c r="F247" t="e">
        <f>VLOOKUP(A247, BIOSIM_REF!$A:$E, 3, FALSE)</f>
        <v>#N/A</v>
      </c>
      <c r="G247" t="e">
        <f>VLOOKUP(A247, BIOSIM_REF!$A:$E, 4, FALSE)</f>
        <v>#N/A</v>
      </c>
      <c r="H247" t="e">
        <f>VLOOKUP(A247, BIOSIM_REF!$A:$E, 5, FALSE)</f>
        <v>#N/A</v>
      </c>
    </row>
    <row r="248" spans="1:8" hidden="1" x14ac:dyDescent="0.25">
      <c r="A248" s="1" t="s">
        <v>1447</v>
      </c>
      <c r="B248" t="s">
        <v>1578</v>
      </c>
      <c r="C248">
        <v>5805132.7999999998</v>
      </c>
      <c r="D248">
        <v>29</v>
      </c>
      <c r="E248">
        <v>200176.99309999999</v>
      </c>
      <c r="F248" t="e">
        <f>VLOOKUP(A248, BIOSIM_REF!$A:$E, 3, FALSE)</f>
        <v>#N/A</v>
      </c>
      <c r="G248" t="e">
        <f>VLOOKUP(A248, BIOSIM_REF!$A:$E, 4, FALSE)</f>
        <v>#N/A</v>
      </c>
      <c r="H248" t="e">
        <f>VLOOKUP(A248, BIOSIM_REF!$A:$E, 5, FALSE)</f>
        <v>#N/A</v>
      </c>
    </row>
    <row r="249" spans="1:8" hidden="1" x14ac:dyDescent="0.25">
      <c r="A249" s="1" t="s">
        <v>480</v>
      </c>
      <c r="B249" t="s">
        <v>484</v>
      </c>
      <c r="C249">
        <v>5781729.7999999998</v>
      </c>
      <c r="D249">
        <v>869</v>
      </c>
      <c r="E249">
        <v>6653.313924</v>
      </c>
      <c r="F249" t="e">
        <f>VLOOKUP(A249, BIOSIM_REF!$A:$E, 3, FALSE)</f>
        <v>#N/A</v>
      </c>
      <c r="G249" t="e">
        <f>VLOOKUP(A249, BIOSIM_REF!$A:$E, 4, FALSE)</f>
        <v>#N/A</v>
      </c>
      <c r="H249" t="e">
        <f>VLOOKUP(A249, BIOSIM_REF!$A:$E, 5, FALSE)</f>
        <v>#N/A</v>
      </c>
    </row>
    <row r="250" spans="1:8" hidden="1" x14ac:dyDescent="0.25">
      <c r="A250" s="1" t="s">
        <v>481</v>
      </c>
      <c r="B250" t="s">
        <v>485</v>
      </c>
      <c r="C250">
        <v>5765102.75</v>
      </c>
      <c r="D250">
        <v>6995</v>
      </c>
      <c r="E250">
        <v>824.17480339999997</v>
      </c>
      <c r="F250" t="e">
        <f>VLOOKUP(A250, BIOSIM_REF!$A:$E, 3, FALSE)</f>
        <v>#N/A</v>
      </c>
      <c r="G250" t="e">
        <f>VLOOKUP(A250, BIOSIM_REF!$A:$E, 4, FALSE)</f>
        <v>#N/A</v>
      </c>
      <c r="H250" t="e">
        <f>VLOOKUP(A250, BIOSIM_REF!$A:$E, 5, FALSE)</f>
        <v>#N/A</v>
      </c>
    </row>
    <row r="251" spans="1:8" hidden="1" x14ac:dyDescent="0.25">
      <c r="A251" s="1" t="s">
        <v>482</v>
      </c>
      <c r="B251" t="s">
        <v>486</v>
      </c>
      <c r="C251">
        <v>5626185.5499999998</v>
      </c>
      <c r="D251">
        <v>89</v>
      </c>
      <c r="E251">
        <v>63215.56798</v>
      </c>
      <c r="F251" t="e">
        <f>VLOOKUP(A251, BIOSIM_REF!$A:$E, 3, FALSE)</f>
        <v>#N/A</v>
      </c>
      <c r="G251" t="e">
        <f>VLOOKUP(A251, BIOSIM_REF!$A:$E, 4, FALSE)</f>
        <v>#N/A</v>
      </c>
      <c r="H251" t="e">
        <f>VLOOKUP(A251, BIOSIM_REF!$A:$E, 5, FALSE)</f>
        <v>#N/A</v>
      </c>
    </row>
    <row r="252" spans="1:8" hidden="1" x14ac:dyDescent="0.25">
      <c r="A252" s="1" t="s">
        <v>483</v>
      </c>
      <c r="B252" t="s">
        <v>487</v>
      </c>
      <c r="C252">
        <v>5459426.1299999999</v>
      </c>
      <c r="D252">
        <v>44</v>
      </c>
      <c r="E252">
        <v>124077.86659999999</v>
      </c>
      <c r="F252" t="e">
        <f>VLOOKUP(A252, BIOSIM_REF!$A:$E, 3, FALSE)</f>
        <v>#N/A</v>
      </c>
      <c r="G252" t="e">
        <f>VLOOKUP(A252, BIOSIM_REF!$A:$E, 4, FALSE)</f>
        <v>#N/A</v>
      </c>
      <c r="H252" t="e">
        <f>VLOOKUP(A252, BIOSIM_REF!$A:$E, 5, FALSE)</f>
        <v>#N/A</v>
      </c>
    </row>
    <row r="253" spans="1:8" hidden="1" x14ac:dyDescent="0.25">
      <c r="A253" s="1" t="s">
        <v>1448</v>
      </c>
      <c r="B253" t="s">
        <v>1579</v>
      </c>
      <c r="C253">
        <v>5444632.5599999996</v>
      </c>
      <c r="D253">
        <v>128</v>
      </c>
      <c r="E253">
        <v>42536.191879999998</v>
      </c>
      <c r="F253" t="e">
        <f>VLOOKUP(A253, BIOSIM_REF!$A:$E, 3, FALSE)</f>
        <v>#N/A</v>
      </c>
      <c r="G253" t="e">
        <f>VLOOKUP(A253, BIOSIM_REF!$A:$E, 4, FALSE)</f>
        <v>#N/A</v>
      </c>
      <c r="H253" t="e">
        <f>VLOOKUP(A253, BIOSIM_REF!$A:$E, 5, FALSE)</f>
        <v>#N/A</v>
      </c>
    </row>
    <row r="254" spans="1:8" hidden="1" x14ac:dyDescent="0.25">
      <c r="A254" s="1" t="s">
        <v>1449</v>
      </c>
      <c r="B254" t="s">
        <v>1580</v>
      </c>
      <c r="C254">
        <v>5296339</v>
      </c>
      <c r="D254">
        <v>24</v>
      </c>
      <c r="E254">
        <v>220680.7917</v>
      </c>
      <c r="F254" t="e">
        <f>VLOOKUP(A254, BIOSIM_REF!$A:$E, 3, FALSE)</f>
        <v>#N/A</v>
      </c>
      <c r="G254" t="e">
        <f>VLOOKUP(A254, BIOSIM_REF!$A:$E, 4, FALSE)</f>
        <v>#N/A</v>
      </c>
      <c r="H254" t="e">
        <f>VLOOKUP(A254, BIOSIM_REF!$A:$E, 5, FALSE)</f>
        <v>#N/A</v>
      </c>
    </row>
    <row r="255" spans="1:8" hidden="1" x14ac:dyDescent="0.25">
      <c r="A255" s="1" t="s">
        <v>491</v>
      </c>
      <c r="B255" t="s">
        <v>494</v>
      </c>
      <c r="C255">
        <v>5068196.84</v>
      </c>
      <c r="D255">
        <v>653</v>
      </c>
      <c r="E255">
        <v>7761.4040429999995</v>
      </c>
      <c r="F255" t="e">
        <f>VLOOKUP(A255, BIOSIM_REF!$A:$E, 3, FALSE)</f>
        <v>#N/A</v>
      </c>
      <c r="G255" t="e">
        <f>VLOOKUP(A255, BIOSIM_REF!$A:$E, 4, FALSE)</f>
        <v>#N/A</v>
      </c>
      <c r="H255" t="e">
        <f>VLOOKUP(A255, BIOSIM_REF!$A:$E, 5, FALSE)</f>
        <v>#N/A</v>
      </c>
    </row>
    <row r="256" spans="1:8" hidden="1" x14ac:dyDescent="0.25">
      <c r="A256" s="1" t="s">
        <v>492</v>
      </c>
      <c r="B256" t="s">
        <v>495</v>
      </c>
      <c r="C256">
        <v>5011122.4000000004</v>
      </c>
      <c r="D256">
        <v>2153</v>
      </c>
      <c r="E256">
        <v>2327.5069210000001</v>
      </c>
      <c r="F256" t="e">
        <f>VLOOKUP(A256, BIOSIM_REF!$A:$E, 3, FALSE)</f>
        <v>#N/A</v>
      </c>
      <c r="G256" t="e">
        <f>VLOOKUP(A256, BIOSIM_REF!$A:$E, 4, FALSE)</f>
        <v>#N/A</v>
      </c>
      <c r="H256" t="e">
        <f>VLOOKUP(A256, BIOSIM_REF!$A:$E, 5, FALSE)</f>
        <v>#N/A</v>
      </c>
    </row>
    <row r="257" spans="1:8" hidden="1" x14ac:dyDescent="0.25">
      <c r="A257" s="1" t="s">
        <v>493</v>
      </c>
      <c r="B257" t="s">
        <v>496</v>
      </c>
      <c r="C257">
        <v>4997448.21</v>
      </c>
      <c r="D257">
        <v>4955</v>
      </c>
      <c r="E257">
        <v>1008.566743</v>
      </c>
      <c r="F257" t="e">
        <f>VLOOKUP(A257, BIOSIM_REF!$A:$E, 3, FALSE)</f>
        <v>#N/A</v>
      </c>
      <c r="G257" t="e">
        <f>VLOOKUP(A257, BIOSIM_REF!$A:$E, 4, FALSE)</f>
        <v>#N/A</v>
      </c>
      <c r="H257" t="e">
        <f>VLOOKUP(A257, BIOSIM_REF!$A:$E, 5, FALSE)</f>
        <v>#N/A</v>
      </c>
    </row>
    <row r="258" spans="1:8" hidden="1" x14ac:dyDescent="0.25">
      <c r="A258" s="1" t="s">
        <v>1450</v>
      </c>
      <c r="B258" t="s">
        <v>1581</v>
      </c>
      <c r="C258">
        <v>4937131.55</v>
      </c>
      <c r="D258">
        <v>19</v>
      </c>
      <c r="E258">
        <v>259849.02900000001</v>
      </c>
      <c r="F258" t="e">
        <f>VLOOKUP(A258, BIOSIM_REF!$A:$E, 3, FALSE)</f>
        <v>#N/A</v>
      </c>
      <c r="G258" t="e">
        <f>VLOOKUP(A258, BIOSIM_REF!$A:$E, 4, FALSE)</f>
        <v>#N/A</v>
      </c>
      <c r="H258" t="e">
        <f>VLOOKUP(A258, BIOSIM_REF!$A:$E, 5, FALSE)</f>
        <v>#N/A</v>
      </c>
    </row>
    <row r="259" spans="1:8" hidden="1" x14ac:dyDescent="0.25">
      <c r="A259" s="1" t="s">
        <v>500</v>
      </c>
      <c r="B259" t="s">
        <v>501</v>
      </c>
      <c r="C259">
        <v>4931144.2699999996</v>
      </c>
      <c r="D259">
        <v>42</v>
      </c>
      <c r="E259">
        <v>117408.1969</v>
      </c>
      <c r="F259" t="e">
        <f>VLOOKUP(A259, BIOSIM_REF!$A:$E, 3, FALSE)</f>
        <v>#N/A</v>
      </c>
      <c r="G259" t="e">
        <f>VLOOKUP(A259, BIOSIM_REF!$A:$E, 4, FALSE)</f>
        <v>#N/A</v>
      </c>
      <c r="H259" t="e">
        <f>VLOOKUP(A259, BIOSIM_REF!$A:$E, 5, FALSE)</f>
        <v>#N/A</v>
      </c>
    </row>
    <row r="260" spans="1:8" x14ac:dyDescent="0.25">
      <c r="A260" s="2" t="s">
        <v>1371</v>
      </c>
      <c r="B260" s="3" t="s">
        <v>1508</v>
      </c>
      <c r="C260" s="3">
        <v>233566050.90000001</v>
      </c>
      <c r="D260" s="3">
        <v>13932</v>
      </c>
      <c r="E260" s="3">
        <v>16764.717980000001</v>
      </c>
      <c r="F260" s="3" t="str">
        <f>VLOOKUP(A260, BIOSIM_REF!$A:$E, 3, FALSE)</f>
        <v>N</v>
      </c>
      <c r="G260" s="3" t="str">
        <f>VLOOKUP(A260, BIOSIM_REF!$A:$E, 4, FALSE)</f>
        <v>RITUXAN</v>
      </c>
      <c r="H260" s="3" t="str">
        <f>VLOOKUP(A260, BIOSIM_REF!$A:$E, 5, FALSE)</f>
        <v>Y</v>
      </c>
    </row>
    <row r="261" spans="1:8" hidden="1" x14ac:dyDescent="0.25">
      <c r="A261" s="1" t="s">
        <v>502</v>
      </c>
      <c r="B261" t="s">
        <v>517</v>
      </c>
      <c r="C261">
        <v>4799901.4800000004</v>
      </c>
      <c r="D261">
        <v>178</v>
      </c>
      <c r="E261">
        <v>26965.738649999999</v>
      </c>
      <c r="F261" t="e">
        <f>VLOOKUP(A261, BIOSIM_REF!$A:$E, 3, FALSE)</f>
        <v>#N/A</v>
      </c>
      <c r="G261" t="e">
        <f>VLOOKUP(A261, BIOSIM_REF!$A:$E, 4, FALSE)</f>
        <v>#N/A</v>
      </c>
      <c r="H261" t="e">
        <f>VLOOKUP(A261, BIOSIM_REF!$A:$E, 5, FALSE)</f>
        <v>#N/A</v>
      </c>
    </row>
    <row r="262" spans="1:8" hidden="1" x14ac:dyDescent="0.25">
      <c r="A262" s="1" t="s">
        <v>503</v>
      </c>
      <c r="B262" t="s">
        <v>518</v>
      </c>
      <c r="C262">
        <v>4782978.34</v>
      </c>
      <c r="D262">
        <v>14806</v>
      </c>
      <c r="E262">
        <v>323.04324869999999</v>
      </c>
      <c r="F262" t="e">
        <f>VLOOKUP(A262, BIOSIM_REF!$A:$E, 3, FALSE)</f>
        <v>#N/A</v>
      </c>
      <c r="G262" t="e">
        <f>VLOOKUP(A262, BIOSIM_REF!$A:$E, 4, FALSE)</f>
        <v>#N/A</v>
      </c>
      <c r="H262" t="e">
        <f>VLOOKUP(A262, BIOSIM_REF!$A:$E, 5, FALSE)</f>
        <v>#N/A</v>
      </c>
    </row>
    <row r="263" spans="1:8" hidden="1" x14ac:dyDescent="0.25">
      <c r="A263" s="1" t="s">
        <v>504</v>
      </c>
      <c r="B263" t="s">
        <v>519</v>
      </c>
      <c r="C263">
        <v>4715715.55</v>
      </c>
      <c r="D263">
        <v>4630</v>
      </c>
      <c r="E263">
        <v>1018.513078</v>
      </c>
      <c r="F263" t="e">
        <f>VLOOKUP(A263, BIOSIM_REF!$A:$E, 3, FALSE)</f>
        <v>#N/A</v>
      </c>
      <c r="G263" t="e">
        <f>VLOOKUP(A263, BIOSIM_REF!$A:$E, 4, FALSE)</f>
        <v>#N/A</v>
      </c>
      <c r="H263" t="e">
        <f>VLOOKUP(A263, BIOSIM_REF!$A:$E, 5, FALSE)</f>
        <v>#N/A</v>
      </c>
    </row>
    <row r="264" spans="1:8" hidden="1" x14ac:dyDescent="0.25">
      <c r="A264" s="1" t="s">
        <v>505</v>
      </c>
      <c r="B264" t="s">
        <v>520</v>
      </c>
      <c r="C264">
        <v>4653362.8899999997</v>
      </c>
      <c r="D264">
        <v>6279</v>
      </c>
      <c r="E264">
        <v>741.09936140000002</v>
      </c>
      <c r="F264" t="e">
        <f>VLOOKUP(A264, BIOSIM_REF!$A:$E, 3, FALSE)</f>
        <v>#N/A</v>
      </c>
      <c r="G264" t="e">
        <f>VLOOKUP(A264, BIOSIM_REF!$A:$E, 4, FALSE)</f>
        <v>#N/A</v>
      </c>
      <c r="H264" t="e">
        <f>VLOOKUP(A264, BIOSIM_REF!$A:$E, 5, FALSE)</f>
        <v>#N/A</v>
      </c>
    </row>
    <row r="265" spans="1:8" hidden="1" x14ac:dyDescent="0.25">
      <c r="A265" s="1" t="s">
        <v>506</v>
      </c>
      <c r="B265" t="s">
        <v>521</v>
      </c>
      <c r="C265">
        <v>4622934.16</v>
      </c>
      <c r="D265">
        <v>354</v>
      </c>
      <c r="E265">
        <v>13059.136049999999</v>
      </c>
      <c r="F265" t="e">
        <f>VLOOKUP(A265, BIOSIM_REF!$A:$E, 3, FALSE)</f>
        <v>#N/A</v>
      </c>
      <c r="G265" t="e">
        <f>VLOOKUP(A265, BIOSIM_REF!$A:$E, 4, FALSE)</f>
        <v>#N/A</v>
      </c>
      <c r="H265" t="e">
        <f>VLOOKUP(A265, BIOSIM_REF!$A:$E, 5, FALSE)</f>
        <v>#N/A</v>
      </c>
    </row>
    <row r="266" spans="1:8" hidden="1" x14ac:dyDescent="0.25">
      <c r="A266" s="1" t="s">
        <v>507</v>
      </c>
      <c r="B266" t="s">
        <v>522</v>
      </c>
      <c r="C266">
        <v>4488249.58</v>
      </c>
      <c r="D266">
        <v>422</v>
      </c>
      <c r="E266">
        <v>10635.66251</v>
      </c>
      <c r="F266" t="e">
        <f>VLOOKUP(A266, BIOSIM_REF!$A:$E, 3, FALSE)</f>
        <v>#N/A</v>
      </c>
      <c r="G266" t="e">
        <f>VLOOKUP(A266, BIOSIM_REF!$A:$E, 4, FALSE)</f>
        <v>#N/A</v>
      </c>
      <c r="H266" t="e">
        <f>VLOOKUP(A266, BIOSIM_REF!$A:$E, 5, FALSE)</f>
        <v>#N/A</v>
      </c>
    </row>
    <row r="267" spans="1:8" hidden="1" x14ac:dyDescent="0.25">
      <c r="A267" s="1" t="s">
        <v>508</v>
      </c>
      <c r="B267" t="s">
        <v>523</v>
      </c>
      <c r="C267">
        <v>4479297.68</v>
      </c>
      <c r="D267">
        <v>14</v>
      </c>
      <c r="E267">
        <v>319949.83429999999</v>
      </c>
      <c r="F267" t="e">
        <f>VLOOKUP(A267, BIOSIM_REF!$A:$E, 3, FALSE)</f>
        <v>#N/A</v>
      </c>
      <c r="G267" t="e">
        <f>VLOOKUP(A267, BIOSIM_REF!$A:$E, 4, FALSE)</f>
        <v>#N/A</v>
      </c>
      <c r="H267" t="e">
        <f>VLOOKUP(A267, BIOSIM_REF!$A:$E, 5, FALSE)</f>
        <v>#N/A</v>
      </c>
    </row>
    <row r="268" spans="1:8" hidden="1" x14ac:dyDescent="0.25">
      <c r="A268" s="1" t="s">
        <v>509</v>
      </c>
      <c r="B268" t="s">
        <v>524</v>
      </c>
      <c r="C268">
        <v>4386715.13</v>
      </c>
      <c r="D268">
        <v>1071</v>
      </c>
      <c r="E268">
        <v>4095.9058169999998</v>
      </c>
      <c r="F268" t="e">
        <f>VLOOKUP(A268, BIOSIM_REF!$A:$E, 3, FALSE)</f>
        <v>#N/A</v>
      </c>
      <c r="G268" t="e">
        <f>VLOOKUP(A268, BIOSIM_REF!$A:$E, 4, FALSE)</f>
        <v>#N/A</v>
      </c>
      <c r="H268" t="e">
        <f>VLOOKUP(A268, BIOSIM_REF!$A:$E, 5, FALSE)</f>
        <v>#N/A</v>
      </c>
    </row>
    <row r="269" spans="1:8" hidden="1" x14ac:dyDescent="0.25">
      <c r="A269" s="1" t="s">
        <v>510</v>
      </c>
      <c r="B269" t="s">
        <v>525</v>
      </c>
      <c r="C269">
        <v>4344086.93</v>
      </c>
      <c r="D269">
        <v>619</v>
      </c>
      <c r="E269">
        <v>7017.9110339999997</v>
      </c>
      <c r="F269" t="e">
        <f>VLOOKUP(A269, BIOSIM_REF!$A:$E, 3, FALSE)</f>
        <v>#N/A</v>
      </c>
      <c r="G269" t="e">
        <f>VLOOKUP(A269, BIOSIM_REF!$A:$E, 4, FALSE)</f>
        <v>#N/A</v>
      </c>
      <c r="H269" t="e">
        <f>VLOOKUP(A269, BIOSIM_REF!$A:$E, 5, FALSE)</f>
        <v>#N/A</v>
      </c>
    </row>
    <row r="270" spans="1:8" hidden="1" x14ac:dyDescent="0.25">
      <c r="A270" s="1" t="s">
        <v>511</v>
      </c>
      <c r="B270" t="s">
        <v>526</v>
      </c>
      <c r="C270">
        <v>4285460.78</v>
      </c>
      <c r="D270">
        <v>6429</v>
      </c>
      <c r="E270">
        <v>666.58279359999995</v>
      </c>
      <c r="F270" t="e">
        <f>VLOOKUP(A270, BIOSIM_REF!$A:$E, 3, FALSE)</f>
        <v>#N/A</v>
      </c>
      <c r="G270" t="e">
        <f>VLOOKUP(A270, BIOSIM_REF!$A:$E, 4, FALSE)</f>
        <v>#N/A</v>
      </c>
      <c r="H270" t="e">
        <f>VLOOKUP(A270, BIOSIM_REF!$A:$E, 5, FALSE)</f>
        <v>#N/A</v>
      </c>
    </row>
    <row r="271" spans="1:8" hidden="1" x14ac:dyDescent="0.25">
      <c r="A271" s="1" t="s">
        <v>512</v>
      </c>
      <c r="B271" t="s">
        <v>527</v>
      </c>
      <c r="C271">
        <v>4251052.22</v>
      </c>
      <c r="D271">
        <v>198</v>
      </c>
      <c r="E271">
        <v>21469.960709999999</v>
      </c>
      <c r="F271" t="e">
        <f>VLOOKUP(A271, BIOSIM_REF!$A:$E, 3, FALSE)</f>
        <v>#N/A</v>
      </c>
      <c r="G271" t="e">
        <f>VLOOKUP(A271, BIOSIM_REF!$A:$E, 4, FALSE)</f>
        <v>#N/A</v>
      </c>
      <c r="H271" t="e">
        <f>VLOOKUP(A271, BIOSIM_REF!$A:$E, 5, FALSE)</f>
        <v>#N/A</v>
      </c>
    </row>
    <row r="272" spans="1:8" hidden="1" x14ac:dyDescent="0.25">
      <c r="A272" s="1" t="s">
        <v>513</v>
      </c>
      <c r="B272" t="s">
        <v>528</v>
      </c>
      <c r="C272">
        <v>4208204.54</v>
      </c>
      <c r="D272">
        <v>711</v>
      </c>
      <c r="E272">
        <v>5918.7124329999997</v>
      </c>
      <c r="F272" t="e">
        <f>VLOOKUP(A272, BIOSIM_REF!$A:$E, 3, FALSE)</f>
        <v>#N/A</v>
      </c>
      <c r="G272" t="e">
        <f>VLOOKUP(A272, BIOSIM_REF!$A:$E, 4, FALSE)</f>
        <v>#N/A</v>
      </c>
      <c r="H272" t="e">
        <f>VLOOKUP(A272, BIOSIM_REF!$A:$E, 5, FALSE)</f>
        <v>#N/A</v>
      </c>
    </row>
    <row r="273" spans="1:8" hidden="1" x14ac:dyDescent="0.25">
      <c r="A273" s="1" t="s">
        <v>514</v>
      </c>
      <c r="B273" t="s">
        <v>529</v>
      </c>
      <c r="C273">
        <v>4177658.01</v>
      </c>
      <c r="D273">
        <v>26</v>
      </c>
      <c r="E273">
        <v>160679.15419999999</v>
      </c>
      <c r="F273" t="e">
        <f>VLOOKUP(A273, BIOSIM_REF!$A:$E, 3, FALSE)</f>
        <v>#N/A</v>
      </c>
      <c r="G273" t="e">
        <f>VLOOKUP(A273, BIOSIM_REF!$A:$E, 4, FALSE)</f>
        <v>#N/A</v>
      </c>
      <c r="H273" t="e">
        <f>VLOOKUP(A273, BIOSIM_REF!$A:$E, 5, FALSE)</f>
        <v>#N/A</v>
      </c>
    </row>
    <row r="274" spans="1:8" hidden="1" x14ac:dyDescent="0.25">
      <c r="A274" s="1" t="s">
        <v>515</v>
      </c>
      <c r="B274" t="s">
        <v>530</v>
      </c>
      <c r="C274">
        <v>4115026.05</v>
      </c>
      <c r="D274">
        <v>55</v>
      </c>
      <c r="E274">
        <v>74818.655459999994</v>
      </c>
      <c r="F274" t="e">
        <f>VLOOKUP(A274, BIOSIM_REF!$A:$E, 3, FALSE)</f>
        <v>#N/A</v>
      </c>
      <c r="G274" t="e">
        <f>VLOOKUP(A274, BIOSIM_REF!$A:$E, 4, FALSE)</f>
        <v>#N/A</v>
      </c>
      <c r="H274" t="e">
        <f>VLOOKUP(A274, BIOSIM_REF!$A:$E, 5, FALSE)</f>
        <v>#N/A</v>
      </c>
    </row>
    <row r="275" spans="1:8" hidden="1" x14ac:dyDescent="0.25">
      <c r="A275" s="1" t="s">
        <v>516</v>
      </c>
      <c r="B275" t="s">
        <v>531</v>
      </c>
      <c r="C275">
        <v>4056681.49</v>
      </c>
      <c r="D275">
        <v>38</v>
      </c>
      <c r="E275">
        <v>106754.7761</v>
      </c>
      <c r="F275" t="e">
        <f>VLOOKUP(A275, BIOSIM_REF!$A:$E, 3, FALSE)</f>
        <v>#N/A</v>
      </c>
      <c r="G275" t="e">
        <f>VLOOKUP(A275, BIOSIM_REF!$A:$E, 4, FALSE)</f>
        <v>#N/A</v>
      </c>
      <c r="H275" t="e">
        <f>VLOOKUP(A275, BIOSIM_REF!$A:$E, 5, FALSE)</f>
        <v>#N/A</v>
      </c>
    </row>
    <row r="276" spans="1:8" hidden="1" x14ac:dyDescent="0.25">
      <c r="A276" s="1" t="s">
        <v>1451</v>
      </c>
      <c r="B276" t="s">
        <v>79</v>
      </c>
      <c r="C276">
        <v>3964549.15</v>
      </c>
      <c r="D276">
        <v>527</v>
      </c>
      <c r="E276">
        <v>7522.8636619999997</v>
      </c>
      <c r="F276" t="e">
        <f>VLOOKUP(A276, BIOSIM_REF!$A:$E, 3, FALSE)</f>
        <v>#N/A</v>
      </c>
      <c r="G276" t="e">
        <f>VLOOKUP(A276, BIOSIM_REF!$A:$E, 4, FALSE)</f>
        <v>#N/A</v>
      </c>
      <c r="H276" t="e">
        <f>VLOOKUP(A276, BIOSIM_REF!$A:$E, 5, FALSE)</f>
        <v>#N/A</v>
      </c>
    </row>
    <row r="277" spans="1:8" hidden="1" x14ac:dyDescent="0.25">
      <c r="A277" s="1" t="s">
        <v>1452</v>
      </c>
      <c r="B277" t="s">
        <v>1583</v>
      </c>
      <c r="C277">
        <v>3954298.44</v>
      </c>
      <c r="D277">
        <v>930</v>
      </c>
      <c r="E277">
        <v>4251.9338070000003</v>
      </c>
      <c r="F277" t="e">
        <f>VLOOKUP(A277, BIOSIM_REF!$A:$E, 3, FALSE)</f>
        <v>#N/A</v>
      </c>
      <c r="G277" t="e">
        <f>VLOOKUP(A277, BIOSIM_REF!$A:$E, 4, FALSE)</f>
        <v>#N/A</v>
      </c>
      <c r="H277" t="e">
        <f>VLOOKUP(A277, BIOSIM_REF!$A:$E, 5, FALSE)</f>
        <v>#N/A</v>
      </c>
    </row>
    <row r="278" spans="1:8" hidden="1" x14ac:dyDescent="0.25">
      <c r="A278" s="1" t="s">
        <v>542</v>
      </c>
      <c r="B278" t="s">
        <v>545</v>
      </c>
      <c r="C278">
        <v>3916042.2</v>
      </c>
      <c r="D278">
        <v>1009</v>
      </c>
      <c r="E278">
        <v>3881.1121899999998</v>
      </c>
      <c r="F278" t="e">
        <f>VLOOKUP(A278, BIOSIM_REF!$A:$E, 3, FALSE)</f>
        <v>#N/A</v>
      </c>
      <c r="G278" t="e">
        <f>VLOOKUP(A278, BIOSIM_REF!$A:$E, 4, FALSE)</f>
        <v>#N/A</v>
      </c>
      <c r="H278" t="e">
        <f>VLOOKUP(A278, BIOSIM_REF!$A:$E, 5, FALSE)</f>
        <v>#N/A</v>
      </c>
    </row>
    <row r="279" spans="1:8" hidden="1" x14ac:dyDescent="0.25">
      <c r="A279" s="1">
        <v>90675</v>
      </c>
      <c r="B279" t="s">
        <v>546</v>
      </c>
      <c r="C279">
        <v>3885925.58</v>
      </c>
      <c r="D279">
        <v>4089</v>
      </c>
      <c r="E279">
        <v>950.33640990000004</v>
      </c>
      <c r="F279" t="e">
        <f>VLOOKUP(A279, BIOSIM_REF!$A:$E, 3, FALSE)</f>
        <v>#N/A</v>
      </c>
      <c r="G279" t="e">
        <f>VLOOKUP(A279, BIOSIM_REF!$A:$E, 4, FALSE)</f>
        <v>#N/A</v>
      </c>
      <c r="H279" t="e">
        <f>VLOOKUP(A279, BIOSIM_REF!$A:$E, 5, FALSE)</f>
        <v>#N/A</v>
      </c>
    </row>
    <row r="280" spans="1:8" hidden="1" x14ac:dyDescent="0.25">
      <c r="A280" s="1" t="s">
        <v>543</v>
      </c>
      <c r="B280" t="s">
        <v>547</v>
      </c>
      <c r="C280">
        <v>3810677.6</v>
      </c>
      <c r="D280">
        <v>11</v>
      </c>
      <c r="E280">
        <v>346425.23639999999</v>
      </c>
      <c r="F280" t="e">
        <f>VLOOKUP(A280, BIOSIM_REF!$A:$E, 3, FALSE)</f>
        <v>#N/A</v>
      </c>
      <c r="G280" t="e">
        <f>VLOOKUP(A280, BIOSIM_REF!$A:$E, 4, FALSE)</f>
        <v>#N/A</v>
      </c>
      <c r="H280" t="e">
        <f>VLOOKUP(A280, BIOSIM_REF!$A:$E, 5, FALSE)</f>
        <v>#N/A</v>
      </c>
    </row>
    <row r="281" spans="1:8" hidden="1" x14ac:dyDescent="0.25">
      <c r="A281" s="1" t="s">
        <v>544</v>
      </c>
      <c r="B281" t="s">
        <v>548</v>
      </c>
      <c r="C281">
        <v>3749179.75</v>
      </c>
      <c r="D281">
        <v>5465</v>
      </c>
      <c r="E281">
        <v>686.03472099999999</v>
      </c>
      <c r="F281" t="e">
        <f>VLOOKUP(A281, BIOSIM_REF!$A:$E, 3, FALSE)</f>
        <v>#N/A</v>
      </c>
      <c r="G281" t="e">
        <f>VLOOKUP(A281, BIOSIM_REF!$A:$E, 4, FALSE)</f>
        <v>#N/A</v>
      </c>
      <c r="H281" t="e">
        <f>VLOOKUP(A281, BIOSIM_REF!$A:$E, 5, FALSE)</f>
        <v>#N/A</v>
      </c>
    </row>
    <row r="282" spans="1:8" hidden="1" x14ac:dyDescent="0.25">
      <c r="A282" s="1" t="s">
        <v>1453</v>
      </c>
      <c r="B282" t="s">
        <v>1584</v>
      </c>
      <c r="C282">
        <v>3692045.72</v>
      </c>
      <c r="D282">
        <v>1064</v>
      </c>
      <c r="E282">
        <v>3469.9677820000002</v>
      </c>
      <c r="F282" t="e">
        <f>VLOOKUP(A282, BIOSIM_REF!$A:$E, 3, FALSE)</f>
        <v>#N/A</v>
      </c>
      <c r="G282" t="e">
        <f>VLOOKUP(A282, BIOSIM_REF!$A:$E, 4, FALSE)</f>
        <v>#N/A</v>
      </c>
      <c r="H282" t="e">
        <f>VLOOKUP(A282, BIOSIM_REF!$A:$E, 5, FALSE)</f>
        <v>#N/A</v>
      </c>
    </row>
    <row r="283" spans="1:8" hidden="1" x14ac:dyDescent="0.25">
      <c r="A283" s="1" t="s">
        <v>553</v>
      </c>
      <c r="B283" t="s">
        <v>554</v>
      </c>
      <c r="C283">
        <v>3548759.85</v>
      </c>
      <c r="D283">
        <v>417726</v>
      </c>
      <c r="E283">
        <v>8.4954248719999992</v>
      </c>
      <c r="F283" t="e">
        <f>VLOOKUP(A283, BIOSIM_REF!$A:$E, 3, FALSE)</f>
        <v>#N/A</v>
      </c>
      <c r="G283" t="e">
        <f>VLOOKUP(A283, BIOSIM_REF!$A:$E, 4, FALSE)</f>
        <v>#N/A</v>
      </c>
      <c r="H283" t="e">
        <f>VLOOKUP(A283, BIOSIM_REF!$A:$E, 5, FALSE)</f>
        <v>#N/A</v>
      </c>
    </row>
    <row r="284" spans="1:8" hidden="1" x14ac:dyDescent="0.25">
      <c r="A284" s="1" t="s">
        <v>1454</v>
      </c>
      <c r="B284" t="s">
        <v>1585</v>
      </c>
      <c r="C284">
        <v>3526527.61</v>
      </c>
      <c r="D284">
        <v>454</v>
      </c>
      <c r="E284">
        <v>7767.6819599999999</v>
      </c>
      <c r="F284" t="e">
        <f>VLOOKUP(A284, BIOSIM_REF!$A:$E, 3, FALSE)</f>
        <v>#N/A</v>
      </c>
      <c r="G284" t="e">
        <f>VLOOKUP(A284, BIOSIM_REF!$A:$E, 4, FALSE)</f>
        <v>#N/A</v>
      </c>
      <c r="H284" t="e">
        <f>VLOOKUP(A284, BIOSIM_REF!$A:$E, 5, FALSE)</f>
        <v>#N/A</v>
      </c>
    </row>
    <row r="285" spans="1:8" hidden="1" x14ac:dyDescent="0.25">
      <c r="A285" s="1" t="s">
        <v>556</v>
      </c>
      <c r="B285" t="s">
        <v>557</v>
      </c>
      <c r="C285">
        <v>3525808.28</v>
      </c>
      <c r="D285">
        <v>38224</v>
      </c>
      <c r="E285">
        <v>92.240693809999996</v>
      </c>
      <c r="F285" t="e">
        <f>VLOOKUP(A285, BIOSIM_REF!$A:$E, 3, FALSE)</f>
        <v>#N/A</v>
      </c>
      <c r="G285" t="e">
        <f>VLOOKUP(A285, BIOSIM_REF!$A:$E, 4, FALSE)</f>
        <v>#N/A</v>
      </c>
      <c r="H285" t="e">
        <f>VLOOKUP(A285, BIOSIM_REF!$A:$E, 5, FALSE)</f>
        <v>#N/A</v>
      </c>
    </row>
    <row r="286" spans="1:8" hidden="1" x14ac:dyDescent="0.25">
      <c r="A286" s="1" t="s">
        <v>1455</v>
      </c>
      <c r="B286" t="s">
        <v>1586</v>
      </c>
      <c r="C286">
        <v>3490059.54</v>
      </c>
      <c r="D286">
        <v>1367</v>
      </c>
      <c r="E286">
        <v>2553.0794000000001</v>
      </c>
      <c r="F286" t="e">
        <f>VLOOKUP(A286, BIOSIM_REF!$A:$E, 3, FALSE)</f>
        <v>#N/A</v>
      </c>
      <c r="G286" t="e">
        <f>VLOOKUP(A286, BIOSIM_REF!$A:$E, 4, FALSE)</f>
        <v>#N/A</v>
      </c>
      <c r="H286" t="e">
        <f>VLOOKUP(A286, BIOSIM_REF!$A:$E, 5, FALSE)</f>
        <v>#N/A</v>
      </c>
    </row>
    <row r="287" spans="1:8" hidden="1" x14ac:dyDescent="0.25">
      <c r="A287" s="1" t="s">
        <v>1456</v>
      </c>
      <c r="B287" t="s">
        <v>1587</v>
      </c>
      <c r="C287">
        <v>3463547.66</v>
      </c>
      <c r="F287" t="e">
        <f>VLOOKUP(A287, BIOSIM_REF!$A:$E, 3, FALSE)</f>
        <v>#N/A</v>
      </c>
      <c r="G287" t="e">
        <f>VLOOKUP(A287, BIOSIM_REF!$A:$E, 4, FALSE)</f>
        <v>#N/A</v>
      </c>
      <c r="H287" t="e">
        <f>VLOOKUP(A287, BIOSIM_REF!$A:$E, 5, FALSE)</f>
        <v>#N/A</v>
      </c>
    </row>
    <row r="288" spans="1:8" hidden="1" x14ac:dyDescent="0.25">
      <c r="A288" s="1">
        <v>90746</v>
      </c>
      <c r="B288" t="s">
        <v>562</v>
      </c>
      <c r="C288">
        <v>3457628.3</v>
      </c>
      <c r="D288">
        <v>32607</v>
      </c>
      <c r="E288">
        <v>106.0394486</v>
      </c>
      <c r="F288" t="e">
        <f>VLOOKUP(A288, BIOSIM_REF!$A:$E, 3, FALSE)</f>
        <v>#N/A</v>
      </c>
      <c r="G288" t="e">
        <f>VLOOKUP(A288, BIOSIM_REF!$A:$E, 4, FALSE)</f>
        <v>#N/A</v>
      </c>
      <c r="H288" t="e">
        <f>VLOOKUP(A288, BIOSIM_REF!$A:$E, 5, FALSE)</f>
        <v>#N/A</v>
      </c>
    </row>
    <row r="289" spans="1:8" hidden="1" x14ac:dyDescent="0.25">
      <c r="A289" s="1" t="s">
        <v>559</v>
      </c>
      <c r="B289" t="s">
        <v>563</v>
      </c>
      <c r="C289">
        <v>3340582.76</v>
      </c>
      <c r="D289">
        <v>567</v>
      </c>
      <c r="E289">
        <v>5891.6803529999997</v>
      </c>
      <c r="F289" t="e">
        <f>VLOOKUP(A289, BIOSIM_REF!$A:$E, 3, FALSE)</f>
        <v>#N/A</v>
      </c>
      <c r="G289" t="e">
        <f>VLOOKUP(A289, BIOSIM_REF!$A:$E, 4, FALSE)</f>
        <v>#N/A</v>
      </c>
      <c r="H289" t="e">
        <f>VLOOKUP(A289, BIOSIM_REF!$A:$E, 5, FALSE)</f>
        <v>#N/A</v>
      </c>
    </row>
    <row r="290" spans="1:8" hidden="1" x14ac:dyDescent="0.25">
      <c r="A290" s="1" t="s">
        <v>560</v>
      </c>
      <c r="B290" t="s">
        <v>564</v>
      </c>
      <c r="C290">
        <v>3212047.86</v>
      </c>
      <c r="D290">
        <v>15349</v>
      </c>
      <c r="E290">
        <v>209.2675653</v>
      </c>
      <c r="F290" t="e">
        <f>VLOOKUP(A290, BIOSIM_REF!$A:$E, 3, FALSE)</f>
        <v>#N/A</v>
      </c>
      <c r="G290" t="e">
        <f>VLOOKUP(A290, BIOSIM_REF!$A:$E, 4, FALSE)</f>
        <v>#N/A</v>
      </c>
      <c r="H290" t="e">
        <f>VLOOKUP(A290, BIOSIM_REF!$A:$E, 5, FALSE)</f>
        <v>#N/A</v>
      </c>
    </row>
    <row r="291" spans="1:8" hidden="1" x14ac:dyDescent="0.25">
      <c r="A291" s="1" t="s">
        <v>561</v>
      </c>
      <c r="B291" t="s">
        <v>565</v>
      </c>
      <c r="C291">
        <v>3176575.74</v>
      </c>
      <c r="D291">
        <v>4737</v>
      </c>
      <c r="E291">
        <v>670.58808109999995</v>
      </c>
      <c r="F291" t="e">
        <f>VLOOKUP(A291, BIOSIM_REF!$A:$E, 3, FALSE)</f>
        <v>#N/A</v>
      </c>
      <c r="G291" t="e">
        <f>VLOOKUP(A291, BIOSIM_REF!$A:$E, 4, FALSE)</f>
        <v>#N/A</v>
      </c>
      <c r="H291" t="e">
        <f>VLOOKUP(A291, BIOSIM_REF!$A:$E, 5, FALSE)</f>
        <v>#N/A</v>
      </c>
    </row>
    <row r="292" spans="1:8" hidden="1" x14ac:dyDescent="0.25">
      <c r="A292" s="1" t="s">
        <v>1457</v>
      </c>
      <c r="B292" t="s">
        <v>1588</v>
      </c>
      <c r="C292">
        <v>2808759.73</v>
      </c>
      <c r="D292">
        <v>118</v>
      </c>
      <c r="E292">
        <v>23803.048559999999</v>
      </c>
      <c r="F292" t="e">
        <f>VLOOKUP(A292, BIOSIM_REF!$A:$E, 3, FALSE)</f>
        <v>#N/A</v>
      </c>
      <c r="G292" t="e">
        <f>VLOOKUP(A292, BIOSIM_REF!$A:$E, 4, FALSE)</f>
        <v>#N/A</v>
      </c>
      <c r="H292" t="e">
        <f>VLOOKUP(A292, BIOSIM_REF!$A:$E, 5, FALSE)</f>
        <v>#N/A</v>
      </c>
    </row>
    <row r="293" spans="1:8" hidden="1" x14ac:dyDescent="0.25">
      <c r="A293" s="1" t="s">
        <v>568</v>
      </c>
      <c r="B293" t="s">
        <v>572</v>
      </c>
      <c r="C293">
        <v>2777172.22</v>
      </c>
      <c r="D293">
        <v>9834</v>
      </c>
      <c r="E293">
        <v>282.4051475</v>
      </c>
      <c r="F293" t="e">
        <f>VLOOKUP(A293, BIOSIM_REF!$A:$E, 3, FALSE)</f>
        <v>#N/A</v>
      </c>
      <c r="G293" t="e">
        <f>VLOOKUP(A293, BIOSIM_REF!$A:$E, 4, FALSE)</f>
        <v>#N/A</v>
      </c>
      <c r="H293" t="e">
        <f>VLOOKUP(A293, BIOSIM_REF!$A:$E, 5, FALSE)</f>
        <v>#N/A</v>
      </c>
    </row>
    <row r="294" spans="1:8" hidden="1" x14ac:dyDescent="0.25">
      <c r="A294" s="1" t="s">
        <v>569</v>
      </c>
      <c r="B294" t="s">
        <v>573</v>
      </c>
      <c r="C294">
        <v>2719370.98</v>
      </c>
      <c r="D294">
        <v>241</v>
      </c>
      <c r="E294">
        <v>11283.69701</v>
      </c>
      <c r="F294" t="e">
        <f>VLOOKUP(A294, BIOSIM_REF!$A:$E, 3, FALSE)</f>
        <v>#N/A</v>
      </c>
      <c r="G294" t="e">
        <f>VLOOKUP(A294, BIOSIM_REF!$A:$E, 4, FALSE)</f>
        <v>#N/A</v>
      </c>
      <c r="H294" t="e">
        <f>VLOOKUP(A294, BIOSIM_REF!$A:$E, 5, FALSE)</f>
        <v>#N/A</v>
      </c>
    </row>
    <row r="295" spans="1:8" hidden="1" x14ac:dyDescent="0.25">
      <c r="A295" s="1" t="s">
        <v>570</v>
      </c>
      <c r="B295" t="s">
        <v>574</v>
      </c>
      <c r="C295">
        <v>2713531.69</v>
      </c>
      <c r="D295">
        <v>12960</v>
      </c>
      <c r="E295">
        <v>209.37744520000001</v>
      </c>
      <c r="F295" t="e">
        <f>VLOOKUP(A295, BIOSIM_REF!$A:$E, 3, FALSE)</f>
        <v>#N/A</v>
      </c>
      <c r="G295" t="e">
        <f>VLOOKUP(A295, BIOSIM_REF!$A:$E, 4, FALSE)</f>
        <v>#N/A</v>
      </c>
      <c r="H295" t="e">
        <f>VLOOKUP(A295, BIOSIM_REF!$A:$E, 5, FALSE)</f>
        <v>#N/A</v>
      </c>
    </row>
    <row r="296" spans="1:8" hidden="1" x14ac:dyDescent="0.25">
      <c r="A296" s="1" t="s">
        <v>571</v>
      </c>
      <c r="B296" t="s">
        <v>575</v>
      </c>
      <c r="C296">
        <v>2645952.59</v>
      </c>
      <c r="D296">
        <v>2956</v>
      </c>
      <c r="E296">
        <v>895.11251349999998</v>
      </c>
      <c r="F296" t="e">
        <f>VLOOKUP(A296, BIOSIM_REF!$A:$E, 3, FALSE)</f>
        <v>#N/A</v>
      </c>
      <c r="G296" t="e">
        <f>VLOOKUP(A296, BIOSIM_REF!$A:$E, 4, FALSE)</f>
        <v>#N/A</v>
      </c>
      <c r="H296" t="e">
        <f>VLOOKUP(A296, BIOSIM_REF!$A:$E, 5, FALSE)</f>
        <v>#N/A</v>
      </c>
    </row>
    <row r="297" spans="1:8" hidden="1" x14ac:dyDescent="0.25">
      <c r="A297" s="1" t="s">
        <v>1458</v>
      </c>
      <c r="B297" t="s">
        <v>1589</v>
      </c>
      <c r="C297">
        <v>2615532.31</v>
      </c>
      <c r="D297">
        <v>191</v>
      </c>
      <c r="E297">
        <v>13693.88644</v>
      </c>
      <c r="F297" t="e">
        <f>VLOOKUP(A297, BIOSIM_REF!$A:$E, 3, FALSE)</f>
        <v>#N/A</v>
      </c>
      <c r="G297" t="e">
        <f>VLOOKUP(A297, BIOSIM_REF!$A:$E, 4, FALSE)</f>
        <v>#N/A</v>
      </c>
      <c r="H297" t="e">
        <f>VLOOKUP(A297, BIOSIM_REF!$A:$E, 5, FALSE)</f>
        <v>#N/A</v>
      </c>
    </row>
    <row r="298" spans="1:8" hidden="1" x14ac:dyDescent="0.25">
      <c r="A298" s="1" t="s">
        <v>578</v>
      </c>
      <c r="B298" t="s">
        <v>585</v>
      </c>
      <c r="C298">
        <v>2610744.04</v>
      </c>
      <c r="D298">
        <v>18448</v>
      </c>
      <c r="E298">
        <v>141.51908280000001</v>
      </c>
      <c r="F298" t="e">
        <f>VLOOKUP(A298, BIOSIM_REF!$A:$E, 3, FALSE)</f>
        <v>#N/A</v>
      </c>
      <c r="G298" t="e">
        <f>VLOOKUP(A298, BIOSIM_REF!$A:$E, 4, FALSE)</f>
        <v>#N/A</v>
      </c>
      <c r="H298" t="e">
        <f>VLOOKUP(A298, BIOSIM_REF!$A:$E, 5, FALSE)</f>
        <v>#N/A</v>
      </c>
    </row>
    <row r="299" spans="1:8" hidden="1" x14ac:dyDescent="0.25">
      <c r="A299" s="1" t="s">
        <v>579</v>
      </c>
      <c r="B299" t="s">
        <v>586</v>
      </c>
      <c r="C299">
        <v>2567585.38</v>
      </c>
      <c r="D299">
        <v>13363</v>
      </c>
      <c r="E299">
        <v>192.14138890000001</v>
      </c>
      <c r="F299" t="e">
        <f>VLOOKUP(A299, BIOSIM_REF!$A:$E, 3, FALSE)</f>
        <v>#N/A</v>
      </c>
      <c r="G299" t="e">
        <f>VLOOKUP(A299, BIOSIM_REF!$A:$E, 4, FALSE)</f>
        <v>#N/A</v>
      </c>
      <c r="H299" t="e">
        <f>VLOOKUP(A299, BIOSIM_REF!$A:$E, 5, FALSE)</f>
        <v>#N/A</v>
      </c>
    </row>
    <row r="300" spans="1:8" hidden="1" x14ac:dyDescent="0.25">
      <c r="A300" s="1" t="s">
        <v>580</v>
      </c>
      <c r="B300" t="s">
        <v>587</v>
      </c>
      <c r="C300">
        <v>2537428.3199999998</v>
      </c>
      <c r="D300">
        <v>1407</v>
      </c>
      <c r="E300">
        <v>1803.431642</v>
      </c>
      <c r="F300" t="e">
        <f>VLOOKUP(A300, BIOSIM_REF!$A:$E, 3, FALSE)</f>
        <v>#N/A</v>
      </c>
      <c r="G300" t="e">
        <f>VLOOKUP(A300, BIOSIM_REF!$A:$E, 4, FALSE)</f>
        <v>#N/A</v>
      </c>
      <c r="H300" t="e">
        <f>VLOOKUP(A300, BIOSIM_REF!$A:$E, 5, FALSE)</f>
        <v>#N/A</v>
      </c>
    </row>
    <row r="301" spans="1:8" hidden="1" x14ac:dyDescent="0.25">
      <c r="A301" s="1" t="s">
        <v>581</v>
      </c>
      <c r="B301" t="s">
        <v>588</v>
      </c>
      <c r="C301">
        <v>2492364.25</v>
      </c>
      <c r="D301">
        <v>113</v>
      </c>
      <c r="E301">
        <v>22056.320800000001</v>
      </c>
      <c r="F301" t="e">
        <f>VLOOKUP(A301, BIOSIM_REF!$A:$E, 3, FALSE)</f>
        <v>#N/A</v>
      </c>
      <c r="G301" t="e">
        <f>VLOOKUP(A301, BIOSIM_REF!$A:$E, 4, FALSE)</f>
        <v>#N/A</v>
      </c>
      <c r="H301" t="e">
        <f>VLOOKUP(A301, BIOSIM_REF!$A:$E, 5, FALSE)</f>
        <v>#N/A</v>
      </c>
    </row>
    <row r="302" spans="1:8" hidden="1" x14ac:dyDescent="0.25">
      <c r="A302" s="1" t="s">
        <v>582</v>
      </c>
      <c r="B302" t="s">
        <v>589</v>
      </c>
      <c r="C302">
        <v>2447572.98</v>
      </c>
      <c r="D302">
        <v>921371</v>
      </c>
      <c r="E302">
        <v>2.6564467299999999</v>
      </c>
      <c r="F302" t="e">
        <f>VLOOKUP(A302, BIOSIM_REF!$A:$E, 3, FALSE)</f>
        <v>#N/A</v>
      </c>
      <c r="G302" t="e">
        <f>VLOOKUP(A302, BIOSIM_REF!$A:$E, 4, FALSE)</f>
        <v>#N/A</v>
      </c>
      <c r="H302" t="e">
        <f>VLOOKUP(A302, BIOSIM_REF!$A:$E, 5, FALSE)</f>
        <v>#N/A</v>
      </c>
    </row>
    <row r="303" spans="1:8" hidden="1" x14ac:dyDescent="0.25">
      <c r="A303" s="1" t="s">
        <v>583</v>
      </c>
      <c r="B303" t="s">
        <v>590</v>
      </c>
      <c r="C303">
        <v>2392838.44</v>
      </c>
      <c r="D303">
        <v>30401</v>
      </c>
      <c r="E303">
        <v>78.709201669999999</v>
      </c>
      <c r="F303" t="e">
        <f>VLOOKUP(A303, BIOSIM_REF!$A:$E, 3, FALSE)</f>
        <v>#N/A</v>
      </c>
      <c r="G303" t="e">
        <f>VLOOKUP(A303, BIOSIM_REF!$A:$E, 4, FALSE)</f>
        <v>#N/A</v>
      </c>
      <c r="H303" t="e">
        <f>VLOOKUP(A303, BIOSIM_REF!$A:$E, 5, FALSE)</f>
        <v>#N/A</v>
      </c>
    </row>
    <row r="304" spans="1:8" hidden="1" x14ac:dyDescent="0.25">
      <c r="A304" s="1" t="s">
        <v>584</v>
      </c>
      <c r="B304" t="s">
        <v>591</v>
      </c>
      <c r="C304">
        <v>2351485.64</v>
      </c>
      <c r="D304">
        <v>309</v>
      </c>
      <c r="E304">
        <v>7609.9858899999999</v>
      </c>
      <c r="F304" t="e">
        <f>VLOOKUP(A304, BIOSIM_REF!$A:$E, 3, FALSE)</f>
        <v>#N/A</v>
      </c>
      <c r="G304" t="e">
        <f>VLOOKUP(A304, BIOSIM_REF!$A:$E, 4, FALSE)</f>
        <v>#N/A</v>
      </c>
      <c r="H304" t="e">
        <f>VLOOKUP(A304, BIOSIM_REF!$A:$E, 5, FALSE)</f>
        <v>#N/A</v>
      </c>
    </row>
    <row r="305" spans="1:8" hidden="1" x14ac:dyDescent="0.25">
      <c r="A305" s="1" t="s">
        <v>1459</v>
      </c>
      <c r="B305" t="s">
        <v>1590</v>
      </c>
      <c r="C305">
        <v>2339271.58</v>
      </c>
      <c r="D305">
        <v>78</v>
      </c>
      <c r="E305">
        <v>29990.66128</v>
      </c>
      <c r="F305" t="e">
        <f>VLOOKUP(A305, BIOSIM_REF!$A:$E, 3, FALSE)</f>
        <v>#N/A</v>
      </c>
      <c r="G305" t="e">
        <f>VLOOKUP(A305, BIOSIM_REF!$A:$E, 4, FALSE)</f>
        <v>#N/A</v>
      </c>
      <c r="H305" t="e">
        <f>VLOOKUP(A305, BIOSIM_REF!$A:$E, 5, FALSE)</f>
        <v>#N/A</v>
      </c>
    </row>
    <row r="306" spans="1:8" hidden="1" x14ac:dyDescent="0.25">
      <c r="A306" s="1" t="s">
        <v>598</v>
      </c>
      <c r="B306" t="s">
        <v>602</v>
      </c>
      <c r="C306">
        <v>2315051.67</v>
      </c>
      <c r="D306">
        <v>253</v>
      </c>
      <c r="E306">
        <v>9150.4018579999993</v>
      </c>
      <c r="F306" t="e">
        <f>VLOOKUP(A306, BIOSIM_REF!$A:$E, 3, FALSE)</f>
        <v>#N/A</v>
      </c>
      <c r="G306" t="e">
        <f>VLOOKUP(A306, BIOSIM_REF!$A:$E, 4, FALSE)</f>
        <v>#N/A</v>
      </c>
      <c r="H306" t="e">
        <f>VLOOKUP(A306, BIOSIM_REF!$A:$E, 5, FALSE)</f>
        <v>#N/A</v>
      </c>
    </row>
    <row r="307" spans="1:8" hidden="1" x14ac:dyDescent="0.25">
      <c r="A307" s="1" t="s">
        <v>599</v>
      </c>
      <c r="B307" t="s">
        <v>603</v>
      </c>
      <c r="C307">
        <v>2310625.7200000002</v>
      </c>
      <c r="D307">
        <v>1670</v>
      </c>
      <c r="E307">
        <v>1383.6082160000001</v>
      </c>
      <c r="F307" t="e">
        <f>VLOOKUP(A307, BIOSIM_REF!$A:$E, 3, FALSE)</f>
        <v>#N/A</v>
      </c>
      <c r="G307" t="e">
        <f>VLOOKUP(A307, BIOSIM_REF!$A:$E, 4, FALSE)</f>
        <v>#N/A</v>
      </c>
      <c r="H307" t="e">
        <f>VLOOKUP(A307, BIOSIM_REF!$A:$E, 5, FALSE)</f>
        <v>#N/A</v>
      </c>
    </row>
    <row r="308" spans="1:8" hidden="1" x14ac:dyDescent="0.25">
      <c r="A308" s="1" t="s">
        <v>600</v>
      </c>
      <c r="B308" t="s">
        <v>604</v>
      </c>
      <c r="C308">
        <v>2275395.6800000002</v>
      </c>
      <c r="D308">
        <v>677</v>
      </c>
      <c r="E308">
        <v>3360.9980500000001</v>
      </c>
      <c r="F308" t="e">
        <f>VLOOKUP(A308, BIOSIM_REF!$A:$E, 3, FALSE)</f>
        <v>#N/A</v>
      </c>
      <c r="G308" t="e">
        <f>VLOOKUP(A308, BIOSIM_REF!$A:$E, 4, FALSE)</f>
        <v>#N/A</v>
      </c>
      <c r="H308" t="e">
        <f>VLOOKUP(A308, BIOSIM_REF!$A:$E, 5, FALSE)</f>
        <v>#N/A</v>
      </c>
    </row>
    <row r="309" spans="1:8" hidden="1" x14ac:dyDescent="0.25">
      <c r="A309" s="1" t="s">
        <v>601</v>
      </c>
      <c r="B309" t="s">
        <v>605</v>
      </c>
      <c r="C309">
        <v>2258904.52</v>
      </c>
      <c r="D309">
        <v>61</v>
      </c>
      <c r="E309">
        <v>37031.221640000003</v>
      </c>
      <c r="F309" t="e">
        <f>VLOOKUP(A309, BIOSIM_REF!$A:$E, 3, FALSE)</f>
        <v>#N/A</v>
      </c>
      <c r="G309" t="e">
        <f>VLOOKUP(A309, BIOSIM_REF!$A:$E, 4, FALSE)</f>
        <v>#N/A</v>
      </c>
      <c r="H309" t="e">
        <f>VLOOKUP(A309, BIOSIM_REF!$A:$E, 5, FALSE)</f>
        <v>#N/A</v>
      </c>
    </row>
    <row r="310" spans="1:8" hidden="1" x14ac:dyDescent="0.25">
      <c r="A310" s="1" t="s">
        <v>1460</v>
      </c>
      <c r="B310" t="s">
        <v>1591</v>
      </c>
      <c r="C310">
        <v>2197743.4300000002</v>
      </c>
      <c r="F310" t="e">
        <f>VLOOKUP(A310, BIOSIM_REF!$A:$E, 3, FALSE)</f>
        <v>#N/A</v>
      </c>
      <c r="G310" t="e">
        <f>VLOOKUP(A310, BIOSIM_REF!$A:$E, 4, FALSE)</f>
        <v>#N/A</v>
      </c>
      <c r="H310" t="e">
        <f>VLOOKUP(A310, BIOSIM_REF!$A:$E, 5, FALSE)</f>
        <v>#N/A</v>
      </c>
    </row>
    <row r="311" spans="1:8" hidden="1" x14ac:dyDescent="0.25">
      <c r="A311" s="1" t="s">
        <v>610</v>
      </c>
      <c r="B311" t="s">
        <v>622</v>
      </c>
      <c r="C311">
        <v>2117021.75</v>
      </c>
      <c r="D311">
        <v>27159</v>
      </c>
      <c r="E311">
        <v>77.949178910000001</v>
      </c>
      <c r="F311" t="e">
        <f>VLOOKUP(A311, BIOSIM_REF!$A:$E, 3, FALSE)</f>
        <v>#N/A</v>
      </c>
      <c r="G311" t="e">
        <f>VLOOKUP(A311, BIOSIM_REF!$A:$E, 4, FALSE)</f>
        <v>#N/A</v>
      </c>
      <c r="H311" t="e">
        <f>VLOOKUP(A311, BIOSIM_REF!$A:$E, 5, FALSE)</f>
        <v>#N/A</v>
      </c>
    </row>
    <row r="312" spans="1:8" hidden="1" x14ac:dyDescent="0.25">
      <c r="A312" s="1" t="s">
        <v>611</v>
      </c>
      <c r="B312" t="s">
        <v>623</v>
      </c>
      <c r="C312">
        <v>2105222.62</v>
      </c>
      <c r="D312">
        <v>5751</v>
      </c>
      <c r="E312">
        <v>366.06201010000001</v>
      </c>
      <c r="F312" t="e">
        <f>VLOOKUP(A312, BIOSIM_REF!$A:$E, 3, FALSE)</f>
        <v>#N/A</v>
      </c>
      <c r="G312" t="e">
        <f>VLOOKUP(A312, BIOSIM_REF!$A:$E, 4, FALSE)</f>
        <v>#N/A</v>
      </c>
      <c r="H312" t="e">
        <f>VLOOKUP(A312, BIOSIM_REF!$A:$E, 5, FALSE)</f>
        <v>#N/A</v>
      </c>
    </row>
    <row r="313" spans="1:8" hidden="1" x14ac:dyDescent="0.25">
      <c r="A313" s="1" t="s">
        <v>612</v>
      </c>
      <c r="B313" t="s">
        <v>624</v>
      </c>
      <c r="C313">
        <v>2089198.52</v>
      </c>
      <c r="D313">
        <v>42251</v>
      </c>
      <c r="E313">
        <v>49.447315330000002</v>
      </c>
      <c r="F313" t="e">
        <f>VLOOKUP(A313, BIOSIM_REF!$A:$E, 3, FALSE)</f>
        <v>#N/A</v>
      </c>
      <c r="G313" t="e">
        <f>VLOOKUP(A313, BIOSIM_REF!$A:$E, 4, FALSE)</f>
        <v>#N/A</v>
      </c>
      <c r="H313" t="e">
        <f>VLOOKUP(A313, BIOSIM_REF!$A:$E, 5, FALSE)</f>
        <v>#N/A</v>
      </c>
    </row>
    <row r="314" spans="1:8" hidden="1" x14ac:dyDescent="0.25">
      <c r="A314" s="1" t="s">
        <v>613</v>
      </c>
      <c r="B314" t="s">
        <v>625</v>
      </c>
      <c r="C314">
        <v>2075657.96</v>
      </c>
      <c r="D314">
        <v>586</v>
      </c>
      <c r="E314">
        <v>3542.07843</v>
      </c>
      <c r="F314" t="e">
        <f>VLOOKUP(A314, BIOSIM_REF!$A:$E, 3, FALSE)</f>
        <v>#N/A</v>
      </c>
      <c r="G314" t="e">
        <f>VLOOKUP(A314, BIOSIM_REF!$A:$E, 4, FALSE)</f>
        <v>#N/A</v>
      </c>
      <c r="H314" t="e">
        <f>VLOOKUP(A314, BIOSIM_REF!$A:$E, 5, FALSE)</f>
        <v>#N/A</v>
      </c>
    </row>
    <row r="315" spans="1:8" hidden="1" x14ac:dyDescent="0.25">
      <c r="A315" s="1">
        <v>90715</v>
      </c>
      <c r="B315" t="s">
        <v>626</v>
      </c>
      <c r="C315">
        <v>2045912.92</v>
      </c>
      <c r="D315">
        <v>59128</v>
      </c>
      <c r="E315">
        <v>34.601422679999999</v>
      </c>
      <c r="F315" t="e">
        <f>VLOOKUP(A315, BIOSIM_REF!$A:$E, 3, FALSE)</f>
        <v>#N/A</v>
      </c>
      <c r="G315" t="e">
        <f>VLOOKUP(A315, BIOSIM_REF!$A:$E, 4, FALSE)</f>
        <v>#N/A</v>
      </c>
      <c r="H315" t="e">
        <f>VLOOKUP(A315, BIOSIM_REF!$A:$E, 5, FALSE)</f>
        <v>#N/A</v>
      </c>
    </row>
    <row r="316" spans="1:8" hidden="1" x14ac:dyDescent="0.25">
      <c r="A316" s="1" t="s">
        <v>614</v>
      </c>
      <c r="B316" t="s">
        <v>627</v>
      </c>
      <c r="C316">
        <v>1979223.02</v>
      </c>
      <c r="D316">
        <v>3566</v>
      </c>
      <c r="E316">
        <v>555.02608529999998</v>
      </c>
      <c r="F316" t="e">
        <f>VLOOKUP(A316, BIOSIM_REF!$A:$E, 3, FALSE)</f>
        <v>#N/A</v>
      </c>
      <c r="G316" t="e">
        <f>VLOOKUP(A316, BIOSIM_REF!$A:$E, 4, FALSE)</f>
        <v>#N/A</v>
      </c>
      <c r="H316" t="e">
        <f>VLOOKUP(A316, BIOSIM_REF!$A:$E, 5, FALSE)</f>
        <v>#N/A</v>
      </c>
    </row>
    <row r="317" spans="1:8" hidden="1" x14ac:dyDescent="0.25">
      <c r="A317" s="1" t="s">
        <v>615</v>
      </c>
      <c r="B317" t="s">
        <v>628</v>
      </c>
      <c r="C317">
        <v>1907849.91</v>
      </c>
      <c r="D317">
        <v>424</v>
      </c>
      <c r="E317">
        <v>4499.6460139999999</v>
      </c>
      <c r="F317" t="e">
        <f>VLOOKUP(A317, BIOSIM_REF!$A:$E, 3, FALSE)</f>
        <v>#N/A</v>
      </c>
      <c r="G317" t="e">
        <f>VLOOKUP(A317, BIOSIM_REF!$A:$E, 4, FALSE)</f>
        <v>#N/A</v>
      </c>
      <c r="H317" t="e">
        <f>VLOOKUP(A317, BIOSIM_REF!$A:$E, 5, FALSE)</f>
        <v>#N/A</v>
      </c>
    </row>
    <row r="318" spans="1:8" hidden="1" x14ac:dyDescent="0.25">
      <c r="A318" s="1" t="s">
        <v>616</v>
      </c>
      <c r="B318" t="s">
        <v>629</v>
      </c>
      <c r="C318">
        <v>1892070.35</v>
      </c>
      <c r="D318">
        <v>121</v>
      </c>
      <c r="E318">
        <v>15636.945040000001</v>
      </c>
      <c r="F318" t="e">
        <f>VLOOKUP(A318, BIOSIM_REF!$A:$E, 3, FALSE)</f>
        <v>#N/A</v>
      </c>
      <c r="G318" t="e">
        <f>VLOOKUP(A318, BIOSIM_REF!$A:$E, 4, FALSE)</f>
        <v>#N/A</v>
      </c>
      <c r="H318" t="e">
        <f>VLOOKUP(A318, BIOSIM_REF!$A:$E, 5, FALSE)</f>
        <v>#N/A</v>
      </c>
    </row>
    <row r="319" spans="1:8" hidden="1" x14ac:dyDescent="0.25">
      <c r="A319" s="1" t="s">
        <v>617</v>
      </c>
      <c r="B319" t="s">
        <v>630</v>
      </c>
      <c r="C319">
        <v>1882326.11</v>
      </c>
      <c r="D319">
        <v>467</v>
      </c>
      <c r="E319">
        <v>4030.6768950000001</v>
      </c>
      <c r="F319" t="e">
        <f>VLOOKUP(A319, BIOSIM_REF!$A:$E, 3, FALSE)</f>
        <v>#N/A</v>
      </c>
      <c r="G319" t="e">
        <f>VLOOKUP(A319, BIOSIM_REF!$A:$E, 4, FALSE)</f>
        <v>#N/A</v>
      </c>
      <c r="H319" t="e">
        <f>VLOOKUP(A319, BIOSIM_REF!$A:$E, 5, FALSE)</f>
        <v>#N/A</v>
      </c>
    </row>
    <row r="320" spans="1:8" hidden="1" x14ac:dyDescent="0.25">
      <c r="A320" s="1" t="s">
        <v>618</v>
      </c>
      <c r="B320" t="s">
        <v>631</v>
      </c>
      <c r="C320">
        <v>1865929.39</v>
      </c>
      <c r="D320">
        <v>1381</v>
      </c>
      <c r="E320">
        <v>1351.1436570000001</v>
      </c>
      <c r="F320" t="e">
        <f>VLOOKUP(A320, BIOSIM_REF!$A:$E, 3, FALSE)</f>
        <v>#N/A</v>
      </c>
      <c r="G320" t="e">
        <f>VLOOKUP(A320, BIOSIM_REF!$A:$E, 4, FALSE)</f>
        <v>#N/A</v>
      </c>
      <c r="H320" t="e">
        <f>VLOOKUP(A320, BIOSIM_REF!$A:$E, 5, FALSE)</f>
        <v>#N/A</v>
      </c>
    </row>
    <row r="321" spans="1:8" hidden="1" x14ac:dyDescent="0.25">
      <c r="A321" s="1" t="s">
        <v>619</v>
      </c>
      <c r="B321" t="s">
        <v>632</v>
      </c>
      <c r="C321">
        <v>1855531.15</v>
      </c>
      <c r="D321">
        <v>97</v>
      </c>
      <c r="E321">
        <v>19129.187109999999</v>
      </c>
      <c r="F321" t="e">
        <f>VLOOKUP(A321, BIOSIM_REF!$A:$E, 3, FALSE)</f>
        <v>#N/A</v>
      </c>
      <c r="G321" t="e">
        <f>VLOOKUP(A321, BIOSIM_REF!$A:$E, 4, FALSE)</f>
        <v>#N/A</v>
      </c>
      <c r="H321" t="e">
        <f>VLOOKUP(A321, BIOSIM_REF!$A:$E, 5, FALSE)</f>
        <v>#N/A</v>
      </c>
    </row>
    <row r="322" spans="1:8" hidden="1" x14ac:dyDescent="0.25">
      <c r="A322" s="1" t="s">
        <v>620</v>
      </c>
      <c r="B322" t="s">
        <v>633</v>
      </c>
      <c r="C322">
        <v>1854267.27</v>
      </c>
      <c r="D322">
        <v>23348</v>
      </c>
      <c r="E322">
        <v>79.418676980000001</v>
      </c>
      <c r="F322" t="e">
        <f>VLOOKUP(A322, BIOSIM_REF!$A:$E, 3, FALSE)</f>
        <v>#N/A</v>
      </c>
      <c r="G322" t="e">
        <f>VLOOKUP(A322, BIOSIM_REF!$A:$E, 4, FALSE)</f>
        <v>#N/A</v>
      </c>
      <c r="H322" t="e">
        <f>VLOOKUP(A322, BIOSIM_REF!$A:$E, 5, FALSE)</f>
        <v>#N/A</v>
      </c>
    </row>
    <row r="323" spans="1:8" hidden="1" x14ac:dyDescent="0.25">
      <c r="A323" s="1" t="s">
        <v>621</v>
      </c>
      <c r="B323" t="s">
        <v>634</v>
      </c>
      <c r="C323">
        <v>1831045.57</v>
      </c>
      <c r="D323">
        <v>43</v>
      </c>
      <c r="E323">
        <v>42582.455119999999</v>
      </c>
      <c r="F323" t="e">
        <f>VLOOKUP(A323, BIOSIM_REF!$A:$E, 3, FALSE)</f>
        <v>#N/A</v>
      </c>
      <c r="G323" t="e">
        <f>VLOOKUP(A323, BIOSIM_REF!$A:$E, 4, FALSE)</f>
        <v>#N/A</v>
      </c>
      <c r="H323" t="e">
        <f>VLOOKUP(A323, BIOSIM_REF!$A:$E, 5, FALSE)</f>
        <v>#N/A</v>
      </c>
    </row>
    <row r="324" spans="1:8" hidden="1" x14ac:dyDescent="0.25">
      <c r="A324" s="1" t="s">
        <v>1461</v>
      </c>
      <c r="B324" t="s">
        <v>1592</v>
      </c>
      <c r="C324">
        <v>1827628.59</v>
      </c>
      <c r="D324">
        <v>184</v>
      </c>
      <c r="E324">
        <v>9932.7640759999995</v>
      </c>
      <c r="F324" t="e">
        <f>VLOOKUP(A324, BIOSIM_REF!$A:$E, 3, FALSE)</f>
        <v>#N/A</v>
      </c>
      <c r="G324" t="e">
        <f>VLOOKUP(A324, BIOSIM_REF!$A:$E, 4, FALSE)</f>
        <v>#N/A</v>
      </c>
      <c r="H324" t="e">
        <f>VLOOKUP(A324, BIOSIM_REF!$A:$E, 5, FALSE)</f>
        <v>#N/A</v>
      </c>
    </row>
    <row r="325" spans="1:8" hidden="1" x14ac:dyDescent="0.25">
      <c r="A325" s="1" t="s">
        <v>645</v>
      </c>
      <c r="B325" t="s">
        <v>648</v>
      </c>
      <c r="C325">
        <v>1791467.83</v>
      </c>
      <c r="D325">
        <v>228</v>
      </c>
      <c r="E325">
        <v>7857.3150439999999</v>
      </c>
      <c r="F325" t="e">
        <f>VLOOKUP(A325, BIOSIM_REF!$A:$E, 3, FALSE)</f>
        <v>#N/A</v>
      </c>
      <c r="G325" t="e">
        <f>VLOOKUP(A325, BIOSIM_REF!$A:$E, 4, FALSE)</f>
        <v>#N/A</v>
      </c>
      <c r="H325" t="e">
        <f>VLOOKUP(A325, BIOSIM_REF!$A:$E, 5, FALSE)</f>
        <v>#N/A</v>
      </c>
    </row>
    <row r="326" spans="1:8" hidden="1" x14ac:dyDescent="0.25">
      <c r="A326" s="1" t="s">
        <v>646</v>
      </c>
      <c r="B326" t="s">
        <v>649</v>
      </c>
      <c r="C326">
        <v>1752222.82</v>
      </c>
      <c r="D326">
        <v>12744</v>
      </c>
      <c r="E326">
        <v>137.49394380000001</v>
      </c>
      <c r="F326" t="e">
        <f>VLOOKUP(A326, BIOSIM_REF!$A:$E, 3, FALSE)</f>
        <v>#N/A</v>
      </c>
      <c r="G326" t="e">
        <f>VLOOKUP(A326, BIOSIM_REF!$A:$E, 4, FALSE)</f>
        <v>#N/A</v>
      </c>
      <c r="H326" t="e">
        <f>VLOOKUP(A326, BIOSIM_REF!$A:$E, 5, FALSE)</f>
        <v>#N/A</v>
      </c>
    </row>
    <row r="327" spans="1:8" hidden="1" x14ac:dyDescent="0.25">
      <c r="A327" s="1" t="s">
        <v>647</v>
      </c>
      <c r="B327" t="s">
        <v>650</v>
      </c>
      <c r="C327">
        <v>1725327.38</v>
      </c>
      <c r="D327">
        <v>7718</v>
      </c>
      <c r="E327">
        <v>223.54591600000001</v>
      </c>
      <c r="F327" t="e">
        <f>VLOOKUP(A327, BIOSIM_REF!$A:$E, 3, FALSE)</f>
        <v>#N/A</v>
      </c>
      <c r="G327" t="e">
        <f>VLOOKUP(A327, BIOSIM_REF!$A:$E, 4, FALSE)</f>
        <v>#N/A</v>
      </c>
      <c r="H327" t="e">
        <f>VLOOKUP(A327, BIOSIM_REF!$A:$E, 5, FALSE)</f>
        <v>#N/A</v>
      </c>
    </row>
    <row r="328" spans="1:8" hidden="1" x14ac:dyDescent="0.25">
      <c r="A328" s="1" t="s">
        <v>1462</v>
      </c>
      <c r="B328" t="s">
        <v>1593</v>
      </c>
      <c r="C328">
        <v>1710572.66</v>
      </c>
      <c r="D328">
        <v>105</v>
      </c>
      <c r="E328">
        <v>16291.16819</v>
      </c>
      <c r="F328" t="e">
        <f>VLOOKUP(A328, BIOSIM_REF!$A:$E, 3, FALSE)</f>
        <v>#N/A</v>
      </c>
      <c r="G328" t="e">
        <f>VLOOKUP(A328, BIOSIM_REF!$A:$E, 4, FALSE)</f>
        <v>#N/A</v>
      </c>
      <c r="H328" t="e">
        <f>VLOOKUP(A328, BIOSIM_REF!$A:$E, 5, FALSE)</f>
        <v>#N/A</v>
      </c>
    </row>
    <row r="329" spans="1:8" hidden="1" x14ac:dyDescent="0.25">
      <c r="A329" s="1" t="s">
        <v>653</v>
      </c>
      <c r="B329" t="s">
        <v>655</v>
      </c>
      <c r="C329">
        <v>1701300.61</v>
      </c>
      <c r="D329">
        <v>160</v>
      </c>
      <c r="E329">
        <v>10633.12881</v>
      </c>
      <c r="F329" t="e">
        <f>VLOOKUP(A329, BIOSIM_REF!$A:$E, 3, FALSE)</f>
        <v>#N/A</v>
      </c>
      <c r="G329" t="e">
        <f>VLOOKUP(A329, BIOSIM_REF!$A:$E, 4, FALSE)</f>
        <v>#N/A</v>
      </c>
      <c r="H329" t="e">
        <f>VLOOKUP(A329, BIOSIM_REF!$A:$E, 5, FALSE)</f>
        <v>#N/A</v>
      </c>
    </row>
    <row r="330" spans="1:8" hidden="1" x14ac:dyDescent="0.25">
      <c r="A330" s="1" t="s">
        <v>654</v>
      </c>
      <c r="B330" t="s">
        <v>656</v>
      </c>
      <c r="C330">
        <v>1680890.67</v>
      </c>
      <c r="F330" t="e">
        <f>VLOOKUP(A330, BIOSIM_REF!$A:$E, 3, FALSE)</f>
        <v>#N/A</v>
      </c>
      <c r="G330" t="e">
        <f>VLOOKUP(A330, BIOSIM_REF!$A:$E, 4, FALSE)</f>
        <v>#N/A</v>
      </c>
      <c r="H330" t="e">
        <f>VLOOKUP(A330, BIOSIM_REF!$A:$E, 5, FALSE)</f>
        <v>#N/A</v>
      </c>
    </row>
    <row r="331" spans="1:8" hidden="1" x14ac:dyDescent="0.25">
      <c r="A331" s="1" t="s">
        <v>1463</v>
      </c>
      <c r="B331" t="s">
        <v>1594</v>
      </c>
      <c r="C331">
        <v>1621500.85</v>
      </c>
      <c r="D331">
        <v>262</v>
      </c>
      <c r="E331">
        <v>6188.934542</v>
      </c>
      <c r="F331" t="e">
        <f>VLOOKUP(A331, BIOSIM_REF!$A:$E, 3, FALSE)</f>
        <v>#N/A</v>
      </c>
      <c r="G331" t="e">
        <f>VLOOKUP(A331, BIOSIM_REF!$A:$E, 4, FALSE)</f>
        <v>#N/A</v>
      </c>
      <c r="H331" t="e">
        <f>VLOOKUP(A331, BIOSIM_REF!$A:$E, 5, FALSE)</f>
        <v>#N/A</v>
      </c>
    </row>
    <row r="332" spans="1:8" hidden="1" x14ac:dyDescent="0.25">
      <c r="A332" s="1" t="s">
        <v>1464</v>
      </c>
      <c r="B332" t="s">
        <v>1595</v>
      </c>
      <c r="C332">
        <v>1619650.61</v>
      </c>
      <c r="D332">
        <v>171</v>
      </c>
      <c r="E332">
        <v>9471.6409939999994</v>
      </c>
      <c r="F332" t="e">
        <f>VLOOKUP(A332, BIOSIM_REF!$A:$E, 3, FALSE)</f>
        <v>#N/A</v>
      </c>
      <c r="G332" t="e">
        <f>VLOOKUP(A332, BIOSIM_REF!$A:$E, 4, FALSE)</f>
        <v>#N/A</v>
      </c>
      <c r="H332" t="e">
        <f>VLOOKUP(A332, BIOSIM_REF!$A:$E, 5, FALSE)</f>
        <v>#N/A</v>
      </c>
    </row>
    <row r="333" spans="1:8" hidden="1" x14ac:dyDescent="0.25">
      <c r="A333" s="1">
        <v>90714</v>
      </c>
      <c r="B333" t="s">
        <v>658</v>
      </c>
      <c r="C333">
        <v>1592124.46</v>
      </c>
      <c r="D333">
        <v>60985</v>
      </c>
      <c r="E333">
        <v>26.106820689999999</v>
      </c>
      <c r="F333" t="e">
        <f>VLOOKUP(A333, BIOSIM_REF!$A:$E, 3, FALSE)</f>
        <v>#N/A</v>
      </c>
      <c r="G333" t="e">
        <f>VLOOKUP(A333, BIOSIM_REF!$A:$E, 4, FALSE)</f>
        <v>#N/A</v>
      </c>
      <c r="H333" t="e">
        <f>VLOOKUP(A333, BIOSIM_REF!$A:$E, 5, FALSE)</f>
        <v>#N/A</v>
      </c>
    </row>
    <row r="334" spans="1:8" hidden="1" x14ac:dyDescent="0.25">
      <c r="A334" s="1" t="s">
        <v>1465</v>
      </c>
      <c r="B334" t="s">
        <v>1596</v>
      </c>
      <c r="C334">
        <v>1556156.43</v>
      </c>
      <c r="D334">
        <v>23</v>
      </c>
      <c r="E334">
        <v>67658.975219999993</v>
      </c>
      <c r="F334" t="e">
        <f>VLOOKUP(A334, BIOSIM_REF!$A:$E, 3, FALSE)</f>
        <v>#N/A</v>
      </c>
      <c r="G334" t="e">
        <f>VLOOKUP(A334, BIOSIM_REF!$A:$E, 4, FALSE)</f>
        <v>#N/A</v>
      </c>
      <c r="H334" t="e">
        <f>VLOOKUP(A334, BIOSIM_REF!$A:$E, 5, FALSE)</f>
        <v>#N/A</v>
      </c>
    </row>
    <row r="335" spans="1:8" hidden="1" x14ac:dyDescent="0.25">
      <c r="A335" s="1" t="s">
        <v>660</v>
      </c>
      <c r="B335" t="s">
        <v>666</v>
      </c>
      <c r="C335">
        <v>1525481.03</v>
      </c>
      <c r="F335" t="e">
        <f>VLOOKUP(A335, BIOSIM_REF!$A:$E, 3, FALSE)</f>
        <v>#N/A</v>
      </c>
      <c r="G335" t="e">
        <f>VLOOKUP(A335, BIOSIM_REF!$A:$E, 4, FALSE)</f>
        <v>#N/A</v>
      </c>
      <c r="H335" t="e">
        <f>VLOOKUP(A335, BIOSIM_REF!$A:$E, 5, FALSE)</f>
        <v>#N/A</v>
      </c>
    </row>
    <row r="336" spans="1:8" hidden="1" x14ac:dyDescent="0.25">
      <c r="A336" s="1" t="s">
        <v>661</v>
      </c>
      <c r="B336" t="s">
        <v>667</v>
      </c>
      <c r="C336">
        <v>1519574.74</v>
      </c>
      <c r="D336">
        <v>930</v>
      </c>
      <c r="E336">
        <v>1633.951333</v>
      </c>
      <c r="F336" t="e">
        <f>VLOOKUP(A336, BIOSIM_REF!$A:$E, 3, FALSE)</f>
        <v>#N/A</v>
      </c>
      <c r="G336" t="e">
        <f>VLOOKUP(A336, BIOSIM_REF!$A:$E, 4, FALSE)</f>
        <v>#N/A</v>
      </c>
      <c r="H336" t="e">
        <f>VLOOKUP(A336, BIOSIM_REF!$A:$E, 5, FALSE)</f>
        <v>#N/A</v>
      </c>
    </row>
    <row r="337" spans="1:8" hidden="1" x14ac:dyDescent="0.25">
      <c r="A337" s="1" t="s">
        <v>662</v>
      </c>
      <c r="B337" t="s">
        <v>668</v>
      </c>
      <c r="C337">
        <v>1517399.73</v>
      </c>
      <c r="D337">
        <v>109</v>
      </c>
      <c r="E337">
        <v>13921.09844</v>
      </c>
      <c r="F337" t="e">
        <f>VLOOKUP(A337, BIOSIM_REF!$A:$E, 3, FALSE)</f>
        <v>#N/A</v>
      </c>
      <c r="G337" t="e">
        <f>VLOOKUP(A337, BIOSIM_REF!$A:$E, 4, FALSE)</f>
        <v>#N/A</v>
      </c>
      <c r="H337" t="e">
        <f>VLOOKUP(A337, BIOSIM_REF!$A:$E, 5, FALSE)</f>
        <v>#N/A</v>
      </c>
    </row>
    <row r="338" spans="1:8" hidden="1" x14ac:dyDescent="0.25">
      <c r="A338" s="1" t="s">
        <v>663</v>
      </c>
      <c r="B338" t="s">
        <v>669</v>
      </c>
      <c r="C338">
        <v>1487852.36</v>
      </c>
      <c r="D338">
        <v>95003</v>
      </c>
      <c r="E338">
        <v>15.661109229999999</v>
      </c>
      <c r="F338" t="e">
        <f>VLOOKUP(A338, BIOSIM_REF!$A:$E, 3, FALSE)</f>
        <v>#N/A</v>
      </c>
      <c r="G338" t="e">
        <f>VLOOKUP(A338, BIOSIM_REF!$A:$E, 4, FALSE)</f>
        <v>#N/A</v>
      </c>
      <c r="H338" t="e">
        <f>VLOOKUP(A338, BIOSIM_REF!$A:$E, 5, FALSE)</f>
        <v>#N/A</v>
      </c>
    </row>
    <row r="339" spans="1:8" hidden="1" x14ac:dyDescent="0.25">
      <c r="A339" s="1" t="s">
        <v>664</v>
      </c>
      <c r="B339" t="s">
        <v>670</v>
      </c>
      <c r="C339">
        <v>1472151.72</v>
      </c>
      <c r="D339">
        <v>408</v>
      </c>
      <c r="E339">
        <v>3608.2150000000001</v>
      </c>
      <c r="F339" t="e">
        <f>VLOOKUP(A339, BIOSIM_REF!$A:$E, 3, FALSE)</f>
        <v>#N/A</v>
      </c>
      <c r="G339" t="e">
        <f>VLOOKUP(A339, BIOSIM_REF!$A:$E, 4, FALSE)</f>
        <v>#N/A</v>
      </c>
      <c r="H339" t="e">
        <f>VLOOKUP(A339, BIOSIM_REF!$A:$E, 5, FALSE)</f>
        <v>#N/A</v>
      </c>
    </row>
    <row r="340" spans="1:8" hidden="1" x14ac:dyDescent="0.25">
      <c r="A340" s="1" t="s">
        <v>665</v>
      </c>
      <c r="B340" t="s">
        <v>671</v>
      </c>
      <c r="C340">
        <v>1464069.64</v>
      </c>
      <c r="D340">
        <v>54418</v>
      </c>
      <c r="E340">
        <v>26.904142749999998</v>
      </c>
      <c r="F340" t="e">
        <f>VLOOKUP(A340, BIOSIM_REF!$A:$E, 3, FALSE)</f>
        <v>#N/A</v>
      </c>
      <c r="G340" t="e">
        <f>VLOOKUP(A340, BIOSIM_REF!$A:$E, 4, FALSE)</f>
        <v>#N/A</v>
      </c>
      <c r="H340" t="e">
        <f>VLOOKUP(A340, BIOSIM_REF!$A:$E, 5, FALSE)</f>
        <v>#N/A</v>
      </c>
    </row>
    <row r="341" spans="1:8" hidden="1" x14ac:dyDescent="0.25">
      <c r="A341" s="1" t="s">
        <v>1466</v>
      </c>
      <c r="B341" t="s">
        <v>1597</v>
      </c>
      <c r="C341">
        <v>1409253.55</v>
      </c>
      <c r="D341">
        <v>358</v>
      </c>
      <c r="E341">
        <v>3936.46243</v>
      </c>
      <c r="F341" t="e">
        <f>VLOOKUP(A341, BIOSIM_REF!$A:$E, 3, FALSE)</f>
        <v>#N/A</v>
      </c>
      <c r="G341" t="e">
        <f>VLOOKUP(A341, BIOSIM_REF!$A:$E, 4, FALSE)</f>
        <v>#N/A</v>
      </c>
      <c r="H341" t="e">
        <f>VLOOKUP(A341, BIOSIM_REF!$A:$E, 5, FALSE)</f>
        <v>#N/A</v>
      </c>
    </row>
    <row r="342" spans="1:8" hidden="1" x14ac:dyDescent="0.25">
      <c r="A342" s="1" t="s">
        <v>677</v>
      </c>
      <c r="B342" t="s">
        <v>679</v>
      </c>
      <c r="C342">
        <v>1404323.47</v>
      </c>
      <c r="D342">
        <v>65</v>
      </c>
      <c r="E342">
        <v>21604.976460000002</v>
      </c>
      <c r="F342" t="e">
        <f>VLOOKUP(A342, BIOSIM_REF!$A:$E, 3, FALSE)</f>
        <v>#N/A</v>
      </c>
      <c r="G342" t="e">
        <f>VLOOKUP(A342, BIOSIM_REF!$A:$E, 4, FALSE)</f>
        <v>#N/A</v>
      </c>
      <c r="H342" t="e">
        <f>VLOOKUP(A342, BIOSIM_REF!$A:$E, 5, FALSE)</f>
        <v>#N/A</v>
      </c>
    </row>
    <row r="343" spans="1:8" hidden="1" x14ac:dyDescent="0.25">
      <c r="A343" s="1" t="s">
        <v>678</v>
      </c>
      <c r="B343" t="s">
        <v>680</v>
      </c>
      <c r="C343">
        <v>1395121.75</v>
      </c>
      <c r="D343">
        <v>40016</v>
      </c>
      <c r="E343">
        <v>34.86409811</v>
      </c>
      <c r="F343" t="e">
        <f>VLOOKUP(A343, BIOSIM_REF!$A:$E, 3, FALSE)</f>
        <v>#N/A</v>
      </c>
      <c r="G343" t="e">
        <f>VLOOKUP(A343, BIOSIM_REF!$A:$E, 4, FALSE)</f>
        <v>#N/A</v>
      </c>
      <c r="H343" t="e">
        <f>VLOOKUP(A343, BIOSIM_REF!$A:$E, 5, FALSE)</f>
        <v>#N/A</v>
      </c>
    </row>
    <row r="344" spans="1:8" hidden="1" x14ac:dyDescent="0.25">
      <c r="A344" s="1" t="s">
        <v>1467</v>
      </c>
      <c r="B344" t="s">
        <v>1598</v>
      </c>
      <c r="C344">
        <v>1393971.14</v>
      </c>
      <c r="D344">
        <v>257</v>
      </c>
      <c r="E344">
        <v>5424.0122179999998</v>
      </c>
      <c r="F344" t="e">
        <f>VLOOKUP(A344, BIOSIM_REF!$A:$E, 3, FALSE)</f>
        <v>#N/A</v>
      </c>
      <c r="G344" t="e">
        <f>VLOOKUP(A344, BIOSIM_REF!$A:$E, 4, FALSE)</f>
        <v>#N/A</v>
      </c>
      <c r="H344" t="e">
        <f>VLOOKUP(A344, BIOSIM_REF!$A:$E, 5, FALSE)</f>
        <v>#N/A</v>
      </c>
    </row>
    <row r="345" spans="1:8" hidden="1" x14ac:dyDescent="0.25">
      <c r="A345" s="1" t="s">
        <v>682</v>
      </c>
      <c r="B345" t="s">
        <v>685</v>
      </c>
      <c r="C345">
        <v>1353072.6</v>
      </c>
      <c r="D345">
        <v>180</v>
      </c>
      <c r="E345">
        <v>7517.07</v>
      </c>
      <c r="F345" t="e">
        <f>VLOOKUP(A345, BIOSIM_REF!$A:$E, 3, FALSE)</f>
        <v>#N/A</v>
      </c>
      <c r="G345" t="e">
        <f>VLOOKUP(A345, BIOSIM_REF!$A:$E, 4, FALSE)</f>
        <v>#N/A</v>
      </c>
      <c r="H345" t="e">
        <f>VLOOKUP(A345, BIOSIM_REF!$A:$E, 5, FALSE)</f>
        <v>#N/A</v>
      </c>
    </row>
    <row r="346" spans="1:8" hidden="1" x14ac:dyDescent="0.25">
      <c r="A346" s="1" t="s">
        <v>683</v>
      </c>
      <c r="B346" t="s">
        <v>686</v>
      </c>
      <c r="C346">
        <v>1318155.98</v>
      </c>
      <c r="D346">
        <v>308</v>
      </c>
      <c r="E346">
        <v>4279.7272080000002</v>
      </c>
      <c r="F346" t="e">
        <f>VLOOKUP(A346, BIOSIM_REF!$A:$E, 3, FALSE)</f>
        <v>#N/A</v>
      </c>
      <c r="G346" t="e">
        <f>VLOOKUP(A346, BIOSIM_REF!$A:$E, 4, FALSE)</f>
        <v>#N/A</v>
      </c>
      <c r="H346" t="e">
        <f>VLOOKUP(A346, BIOSIM_REF!$A:$E, 5, FALSE)</f>
        <v>#N/A</v>
      </c>
    </row>
    <row r="347" spans="1:8" hidden="1" x14ac:dyDescent="0.25">
      <c r="A347" s="1" t="s">
        <v>684</v>
      </c>
      <c r="B347" t="s">
        <v>687</v>
      </c>
      <c r="C347">
        <v>1304779.6100000001</v>
      </c>
      <c r="D347">
        <v>362193</v>
      </c>
      <c r="E347">
        <v>3.602442924</v>
      </c>
      <c r="F347" t="e">
        <f>VLOOKUP(A347, BIOSIM_REF!$A:$E, 3, FALSE)</f>
        <v>#N/A</v>
      </c>
      <c r="G347" t="e">
        <f>VLOOKUP(A347, BIOSIM_REF!$A:$E, 4, FALSE)</f>
        <v>#N/A</v>
      </c>
      <c r="H347" t="e">
        <f>VLOOKUP(A347, BIOSIM_REF!$A:$E, 5, FALSE)</f>
        <v>#N/A</v>
      </c>
    </row>
    <row r="348" spans="1:8" hidden="1" x14ac:dyDescent="0.25">
      <c r="A348" s="1" t="s">
        <v>1468</v>
      </c>
      <c r="B348" t="s">
        <v>1599</v>
      </c>
      <c r="C348">
        <v>1296955.33</v>
      </c>
      <c r="D348">
        <v>193</v>
      </c>
      <c r="E348">
        <v>6719.9758030000003</v>
      </c>
      <c r="F348" t="e">
        <f>VLOOKUP(A348, BIOSIM_REF!$A:$E, 3, FALSE)</f>
        <v>#N/A</v>
      </c>
      <c r="G348" t="e">
        <f>VLOOKUP(A348, BIOSIM_REF!$A:$E, 4, FALSE)</f>
        <v>#N/A</v>
      </c>
      <c r="H348" t="e">
        <f>VLOOKUP(A348, BIOSIM_REF!$A:$E, 5, FALSE)</f>
        <v>#N/A</v>
      </c>
    </row>
    <row r="349" spans="1:8" hidden="1" x14ac:dyDescent="0.25">
      <c r="A349" s="1" t="s">
        <v>690</v>
      </c>
      <c r="B349" t="s">
        <v>694</v>
      </c>
      <c r="C349">
        <v>1296061.25</v>
      </c>
      <c r="D349">
        <v>3725</v>
      </c>
      <c r="E349">
        <v>347.93590599999999</v>
      </c>
      <c r="F349" t="e">
        <f>VLOOKUP(A349, BIOSIM_REF!$A:$E, 3, FALSE)</f>
        <v>#N/A</v>
      </c>
      <c r="G349" t="e">
        <f>VLOOKUP(A349, BIOSIM_REF!$A:$E, 4, FALSE)</f>
        <v>#N/A</v>
      </c>
      <c r="H349" t="e">
        <f>VLOOKUP(A349, BIOSIM_REF!$A:$E, 5, FALSE)</f>
        <v>#N/A</v>
      </c>
    </row>
    <row r="350" spans="1:8" hidden="1" x14ac:dyDescent="0.25">
      <c r="A350" s="1" t="s">
        <v>691</v>
      </c>
      <c r="B350" t="s">
        <v>695</v>
      </c>
      <c r="C350">
        <v>1239331.49</v>
      </c>
      <c r="D350">
        <v>7430</v>
      </c>
      <c r="E350">
        <v>166.80100809999999</v>
      </c>
      <c r="F350" t="e">
        <f>VLOOKUP(A350, BIOSIM_REF!$A:$E, 3, FALSE)</f>
        <v>#N/A</v>
      </c>
      <c r="G350" t="e">
        <f>VLOOKUP(A350, BIOSIM_REF!$A:$E, 4, FALSE)</f>
        <v>#N/A</v>
      </c>
      <c r="H350" t="e">
        <f>VLOOKUP(A350, BIOSIM_REF!$A:$E, 5, FALSE)</f>
        <v>#N/A</v>
      </c>
    </row>
    <row r="351" spans="1:8" hidden="1" x14ac:dyDescent="0.25">
      <c r="A351" s="1" t="s">
        <v>692</v>
      </c>
      <c r="B351" t="s">
        <v>696</v>
      </c>
      <c r="C351">
        <v>1209950.8700000001</v>
      </c>
      <c r="D351">
        <v>156636</v>
      </c>
      <c r="E351">
        <v>7.7246027100000001</v>
      </c>
      <c r="F351" t="e">
        <f>VLOOKUP(A351, BIOSIM_REF!$A:$E, 3, FALSE)</f>
        <v>#N/A</v>
      </c>
      <c r="G351" t="e">
        <f>VLOOKUP(A351, BIOSIM_REF!$A:$E, 4, FALSE)</f>
        <v>#N/A</v>
      </c>
      <c r="H351" t="e">
        <f>VLOOKUP(A351, BIOSIM_REF!$A:$E, 5, FALSE)</f>
        <v>#N/A</v>
      </c>
    </row>
    <row r="352" spans="1:8" hidden="1" x14ac:dyDescent="0.25">
      <c r="A352" s="1" t="s">
        <v>693</v>
      </c>
      <c r="B352" t="s">
        <v>697</v>
      </c>
      <c r="C352">
        <v>1194925.1200000001</v>
      </c>
      <c r="D352">
        <v>45344</v>
      </c>
      <c r="E352">
        <v>26.352441779999999</v>
      </c>
      <c r="F352" t="e">
        <f>VLOOKUP(A352, BIOSIM_REF!$A:$E, 3, FALSE)</f>
        <v>#N/A</v>
      </c>
      <c r="G352" t="e">
        <f>VLOOKUP(A352, BIOSIM_REF!$A:$E, 4, FALSE)</f>
        <v>#N/A</v>
      </c>
      <c r="H352" t="e">
        <f>VLOOKUP(A352, BIOSIM_REF!$A:$E, 5, FALSE)</f>
        <v>#N/A</v>
      </c>
    </row>
    <row r="353" spans="1:8" hidden="1" x14ac:dyDescent="0.25">
      <c r="A353" s="1" t="s">
        <v>1469</v>
      </c>
      <c r="B353" t="s">
        <v>1600</v>
      </c>
      <c r="C353">
        <v>1161789.23</v>
      </c>
      <c r="F353" t="e">
        <f>VLOOKUP(A353, BIOSIM_REF!$A:$E, 3, FALSE)</f>
        <v>#N/A</v>
      </c>
      <c r="G353" t="e">
        <f>VLOOKUP(A353, BIOSIM_REF!$A:$E, 4, FALSE)</f>
        <v>#N/A</v>
      </c>
      <c r="H353" t="e">
        <f>VLOOKUP(A353, BIOSIM_REF!$A:$E, 5, FALSE)</f>
        <v>#N/A</v>
      </c>
    </row>
    <row r="354" spans="1:8" hidden="1" x14ac:dyDescent="0.25">
      <c r="A354" s="1" t="s">
        <v>701</v>
      </c>
      <c r="B354" t="s">
        <v>702</v>
      </c>
      <c r="C354">
        <v>1154542.0900000001</v>
      </c>
      <c r="F354" t="e">
        <f>VLOOKUP(A354, BIOSIM_REF!$A:$E, 3, FALSE)</f>
        <v>#N/A</v>
      </c>
      <c r="G354" t="e">
        <f>VLOOKUP(A354, BIOSIM_REF!$A:$E, 4, FALSE)</f>
        <v>#N/A</v>
      </c>
      <c r="H354" t="e">
        <f>VLOOKUP(A354, BIOSIM_REF!$A:$E, 5, FALSE)</f>
        <v>#N/A</v>
      </c>
    </row>
    <row r="355" spans="1:8" hidden="1" x14ac:dyDescent="0.25">
      <c r="A355" s="1" t="s">
        <v>1470</v>
      </c>
      <c r="B355" t="s">
        <v>1601</v>
      </c>
      <c r="C355">
        <v>1151817.92</v>
      </c>
      <c r="D355">
        <v>167</v>
      </c>
      <c r="E355">
        <v>6897.1132930000003</v>
      </c>
      <c r="F355" t="e">
        <f>VLOOKUP(A355, BIOSIM_REF!$A:$E, 3, FALSE)</f>
        <v>#N/A</v>
      </c>
      <c r="G355" t="e">
        <f>VLOOKUP(A355, BIOSIM_REF!$A:$E, 4, FALSE)</f>
        <v>#N/A</v>
      </c>
      <c r="H355" t="e">
        <f>VLOOKUP(A355, BIOSIM_REF!$A:$E, 5, FALSE)</f>
        <v>#N/A</v>
      </c>
    </row>
    <row r="356" spans="1:8" hidden="1" x14ac:dyDescent="0.25">
      <c r="A356" s="1" t="s">
        <v>703</v>
      </c>
      <c r="B356" t="s">
        <v>704</v>
      </c>
      <c r="C356">
        <v>1129177.6599999999</v>
      </c>
      <c r="D356">
        <v>68</v>
      </c>
      <c r="E356">
        <v>16605.553820000001</v>
      </c>
      <c r="F356" t="e">
        <f>VLOOKUP(A356, BIOSIM_REF!$A:$E, 3, FALSE)</f>
        <v>#N/A</v>
      </c>
      <c r="G356" t="e">
        <f>VLOOKUP(A356, BIOSIM_REF!$A:$E, 4, FALSE)</f>
        <v>#N/A</v>
      </c>
      <c r="H356" t="e">
        <f>VLOOKUP(A356, BIOSIM_REF!$A:$E, 5, FALSE)</f>
        <v>#N/A</v>
      </c>
    </row>
    <row r="357" spans="1:8" x14ac:dyDescent="0.25">
      <c r="A357" s="2" t="s">
        <v>1366</v>
      </c>
      <c r="B357" s="3" t="s">
        <v>1530</v>
      </c>
      <c r="C357" s="3">
        <v>68338781.280000001</v>
      </c>
      <c r="D357" s="3">
        <v>3580</v>
      </c>
      <c r="E357" s="3">
        <v>19089.045050000001</v>
      </c>
      <c r="F357" s="3" t="str">
        <f>VLOOKUP(A357, BIOSIM_REF!$A:$E, 3, FALSE)</f>
        <v>Y</v>
      </c>
      <c r="G357" s="3" t="str">
        <f>VLOOKUP(A357, BIOSIM_REF!$A:$E, 4, FALSE)</f>
        <v>RITUXAN</v>
      </c>
      <c r="H357" s="3" t="str">
        <f>VLOOKUP(A357, BIOSIM_REF!$A:$E, 5, FALSE)</f>
        <v>N</v>
      </c>
    </row>
    <row r="358" spans="1:8" hidden="1" x14ac:dyDescent="0.25">
      <c r="A358" s="1" t="s">
        <v>706</v>
      </c>
      <c r="B358" t="s">
        <v>707</v>
      </c>
      <c r="C358">
        <v>1117690.95</v>
      </c>
      <c r="D358">
        <v>6385</v>
      </c>
      <c r="E358">
        <v>175.0494832</v>
      </c>
      <c r="F358" t="e">
        <f>VLOOKUP(A358, BIOSIM_REF!$A:$E, 3, FALSE)</f>
        <v>#N/A</v>
      </c>
      <c r="G358" t="e">
        <f>VLOOKUP(A358, BIOSIM_REF!$A:$E, 4, FALSE)</f>
        <v>#N/A</v>
      </c>
      <c r="H358" t="e">
        <f>VLOOKUP(A358, BIOSIM_REF!$A:$E, 5, FALSE)</f>
        <v>#N/A</v>
      </c>
    </row>
    <row r="359" spans="1:8" hidden="1" x14ac:dyDescent="0.25">
      <c r="A359" s="1" t="s">
        <v>1471</v>
      </c>
      <c r="B359" t="s">
        <v>1603</v>
      </c>
      <c r="C359">
        <v>1076315.73</v>
      </c>
      <c r="D359">
        <v>210</v>
      </c>
      <c r="E359">
        <v>5125.3130000000001</v>
      </c>
      <c r="F359" t="e">
        <f>VLOOKUP(A359, BIOSIM_REF!$A:$E, 3, FALSE)</f>
        <v>#N/A</v>
      </c>
      <c r="G359" t="e">
        <f>VLOOKUP(A359, BIOSIM_REF!$A:$E, 4, FALSE)</f>
        <v>#N/A</v>
      </c>
      <c r="H359" t="e">
        <f>VLOOKUP(A359, BIOSIM_REF!$A:$E, 5, FALSE)</f>
        <v>#N/A</v>
      </c>
    </row>
    <row r="360" spans="1:8" hidden="1" x14ac:dyDescent="0.25">
      <c r="A360" s="1" t="s">
        <v>709</v>
      </c>
      <c r="B360" t="s">
        <v>716</v>
      </c>
      <c r="C360">
        <v>959172.04</v>
      </c>
      <c r="D360">
        <v>33410</v>
      </c>
      <c r="E360">
        <v>28.709130200000001</v>
      </c>
      <c r="F360" t="e">
        <f>VLOOKUP(A360, BIOSIM_REF!$A:$E, 3, FALSE)</f>
        <v>#N/A</v>
      </c>
      <c r="G360" t="e">
        <f>VLOOKUP(A360, BIOSIM_REF!$A:$E, 4, FALSE)</f>
        <v>#N/A</v>
      </c>
      <c r="H360" t="e">
        <f>VLOOKUP(A360, BIOSIM_REF!$A:$E, 5, FALSE)</f>
        <v>#N/A</v>
      </c>
    </row>
    <row r="361" spans="1:8" hidden="1" x14ac:dyDescent="0.25">
      <c r="A361" s="1" t="s">
        <v>710</v>
      </c>
      <c r="B361" t="s">
        <v>717</v>
      </c>
      <c r="C361">
        <v>954255.51</v>
      </c>
      <c r="D361">
        <v>2802</v>
      </c>
      <c r="E361">
        <v>340.56228049999999</v>
      </c>
      <c r="F361" t="e">
        <f>VLOOKUP(A361, BIOSIM_REF!$A:$E, 3, FALSE)</f>
        <v>#N/A</v>
      </c>
      <c r="G361" t="e">
        <f>VLOOKUP(A361, BIOSIM_REF!$A:$E, 4, FALSE)</f>
        <v>#N/A</v>
      </c>
      <c r="H361" t="e">
        <f>VLOOKUP(A361, BIOSIM_REF!$A:$E, 5, FALSE)</f>
        <v>#N/A</v>
      </c>
    </row>
    <row r="362" spans="1:8" hidden="1" x14ac:dyDescent="0.25">
      <c r="A362" s="1" t="s">
        <v>711</v>
      </c>
      <c r="B362" t="s">
        <v>718</v>
      </c>
      <c r="C362">
        <v>951896.97</v>
      </c>
      <c r="D362">
        <v>50572</v>
      </c>
      <c r="E362">
        <v>18.822608760000001</v>
      </c>
      <c r="F362" t="e">
        <f>VLOOKUP(A362, BIOSIM_REF!$A:$E, 3, FALSE)</f>
        <v>#N/A</v>
      </c>
      <c r="G362" t="e">
        <f>VLOOKUP(A362, BIOSIM_REF!$A:$E, 4, FALSE)</f>
        <v>#N/A</v>
      </c>
      <c r="H362" t="e">
        <f>VLOOKUP(A362, BIOSIM_REF!$A:$E, 5, FALSE)</f>
        <v>#N/A</v>
      </c>
    </row>
    <row r="363" spans="1:8" hidden="1" x14ac:dyDescent="0.25">
      <c r="A363" s="1" t="s">
        <v>712</v>
      </c>
      <c r="B363" t="s">
        <v>719</v>
      </c>
      <c r="C363">
        <v>936728.97</v>
      </c>
      <c r="D363">
        <v>359</v>
      </c>
      <c r="E363">
        <v>2609.2728969999998</v>
      </c>
      <c r="F363" t="e">
        <f>VLOOKUP(A363, BIOSIM_REF!$A:$E, 3, FALSE)</f>
        <v>#N/A</v>
      </c>
      <c r="G363" t="e">
        <f>VLOOKUP(A363, BIOSIM_REF!$A:$E, 4, FALSE)</f>
        <v>#N/A</v>
      </c>
      <c r="H363" t="e">
        <f>VLOOKUP(A363, BIOSIM_REF!$A:$E, 5, FALSE)</f>
        <v>#N/A</v>
      </c>
    </row>
    <row r="364" spans="1:8" hidden="1" x14ac:dyDescent="0.25">
      <c r="A364" s="1" t="s">
        <v>713</v>
      </c>
      <c r="B364" t="s">
        <v>720</v>
      </c>
      <c r="C364">
        <v>929417.37</v>
      </c>
      <c r="D364">
        <v>363</v>
      </c>
      <c r="E364">
        <v>2560.3784300000002</v>
      </c>
      <c r="F364" t="e">
        <f>VLOOKUP(A364, BIOSIM_REF!$A:$E, 3, FALSE)</f>
        <v>#N/A</v>
      </c>
      <c r="G364" t="e">
        <f>VLOOKUP(A364, BIOSIM_REF!$A:$E, 4, FALSE)</f>
        <v>#N/A</v>
      </c>
      <c r="H364" t="e">
        <f>VLOOKUP(A364, BIOSIM_REF!$A:$E, 5, FALSE)</f>
        <v>#N/A</v>
      </c>
    </row>
    <row r="365" spans="1:8" hidden="1" x14ac:dyDescent="0.25">
      <c r="A365" s="1" t="s">
        <v>714</v>
      </c>
      <c r="B365" t="s">
        <v>721</v>
      </c>
      <c r="C365">
        <v>917156.33</v>
      </c>
      <c r="D365">
        <v>109</v>
      </c>
      <c r="E365">
        <v>8414.2782569999999</v>
      </c>
      <c r="F365" t="e">
        <f>VLOOKUP(A365, BIOSIM_REF!$A:$E, 3, FALSE)</f>
        <v>#N/A</v>
      </c>
      <c r="G365" t="e">
        <f>VLOOKUP(A365, BIOSIM_REF!$A:$E, 4, FALSE)</f>
        <v>#N/A</v>
      </c>
      <c r="H365" t="e">
        <f>VLOOKUP(A365, BIOSIM_REF!$A:$E, 5, FALSE)</f>
        <v>#N/A</v>
      </c>
    </row>
    <row r="366" spans="1:8" hidden="1" x14ac:dyDescent="0.25">
      <c r="A366" s="1" t="s">
        <v>715</v>
      </c>
      <c r="B366" t="s">
        <v>722</v>
      </c>
      <c r="C366">
        <v>878178.09</v>
      </c>
      <c r="D366">
        <v>20</v>
      </c>
      <c r="E366">
        <v>43908.904499999997</v>
      </c>
      <c r="F366" t="e">
        <f>VLOOKUP(A366, BIOSIM_REF!$A:$E, 3, FALSE)</f>
        <v>#N/A</v>
      </c>
      <c r="G366" t="e">
        <f>VLOOKUP(A366, BIOSIM_REF!$A:$E, 4, FALSE)</f>
        <v>#N/A</v>
      </c>
      <c r="H366" t="e">
        <f>VLOOKUP(A366, BIOSIM_REF!$A:$E, 5, FALSE)</f>
        <v>#N/A</v>
      </c>
    </row>
    <row r="367" spans="1:8" hidden="1" x14ac:dyDescent="0.25">
      <c r="A367" s="1">
        <v>90376</v>
      </c>
      <c r="B367" t="s">
        <v>723</v>
      </c>
      <c r="C367">
        <v>871343.32</v>
      </c>
      <c r="D367">
        <v>329</v>
      </c>
      <c r="E367">
        <v>2648.4599389999998</v>
      </c>
      <c r="F367" t="e">
        <f>VLOOKUP(A367, BIOSIM_REF!$A:$E, 3, FALSE)</f>
        <v>#N/A</v>
      </c>
      <c r="G367" t="e">
        <f>VLOOKUP(A367, BIOSIM_REF!$A:$E, 4, FALSE)</f>
        <v>#N/A</v>
      </c>
      <c r="H367" t="e">
        <f>VLOOKUP(A367, BIOSIM_REF!$A:$E, 5, FALSE)</f>
        <v>#N/A</v>
      </c>
    </row>
    <row r="368" spans="1:8" hidden="1" x14ac:dyDescent="0.25">
      <c r="A368" s="1" t="s">
        <v>1472</v>
      </c>
      <c r="B368" t="s">
        <v>1604</v>
      </c>
      <c r="C368">
        <v>859764.07</v>
      </c>
      <c r="D368">
        <v>41</v>
      </c>
      <c r="E368">
        <v>20969.855370000001</v>
      </c>
      <c r="F368" t="e">
        <f>VLOOKUP(A368, BIOSIM_REF!$A:$E, 3, FALSE)</f>
        <v>#N/A</v>
      </c>
      <c r="G368" t="e">
        <f>VLOOKUP(A368, BIOSIM_REF!$A:$E, 4, FALSE)</f>
        <v>#N/A</v>
      </c>
      <c r="H368" t="e">
        <f>VLOOKUP(A368, BIOSIM_REF!$A:$E, 5, FALSE)</f>
        <v>#N/A</v>
      </c>
    </row>
    <row r="369" spans="1:8" hidden="1" x14ac:dyDescent="0.25">
      <c r="A369" s="1" t="s">
        <v>729</v>
      </c>
      <c r="B369" t="s">
        <v>731</v>
      </c>
      <c r="C369">
        <v>855046.83</v>
      </c>
      <c r="D369">
        <v>17</v>
      </c>
      <c r="E369">
        <v>50296.872349999998</v>
      </c>
      <c r="F369" t="e">
        <f>VLOOKUP(A369, BIOSIM_REF!$A:$E, 3, FALSE)</f>
        <v>#N/A</v>
      </c>
      <c r="G369" t="e">
        <f>VLOOKUP(A369, BIOSIM_REF!$A:$E, 4, FALSE)</f>
        <v>#N/A</v>
      </c>
      <c r="H369" t="e">
        <f>VLOOKUP(A369, BIOSIM_REF!$A:$E, 5, FALSE)</f>
        <v>#N/A</v>
      </c>
    </row>
    <row r="370" spans="1:8" hidden="1" x14ac:dyDescent="0.25">
      <c r="A370" s="1" t="s">
        <v>730</v>
      </c>
      <c r="B370" t="s">
        <v>732</v>
      </c>
      <c r="C370">
        <v>842942.35</v>
      </c>
      <c r="D370">
        <v>392893</v>
      </c>
      <c r="E370">
        <v>2.1454756129999999</v>
      </c>
      <c r="F370" t="e">
        <f>VLOOKUP(A370, BIOSIM_REF!$A:$E, 3, FALSE)</f>
        <v>#N/A</v>
      </c>
      <c r="G370" t="e">
        <f>VLOOKUP(A370, BIOSIM_REF!$A:$E, 4, FALSE)</f>
        <v>#N/A</v>
      </c>
      <c r="H370" t="e">
        <f>VLOOKUP(A370, BIOSIM_REF!$A:$E, 5, FALSE)</f>
        <v>#N/A</v>
      </c>
    </row>
    <row r="371" spans="1:8" hidden="1" x14ac:dyDescent="0.25">
      <c r="A371" s="1" t="s">
        <v>1473</v>
      </c>
      <c r="B371" t="s">
        <v>1605</v>
      </c>
      <c r="C371">
        <v>796228.12</v>
      </c>
      <c r="D371">
        <v>434</v>
      </c>
      <c r="E371">
        <v>1834.6270050000001</v>
      </c>
      <c r="F371" t="e">
        <f>VLOOKUP(A371, BIOSIM_REF!$A:$E, 3, FALSE)</f>
        <v>#N/A</v>
      </c>
      <c r="G371" t="e">
        <f>VLOOKUP(A371, BIOSIM_REF!$A:$E, 4, FALSE)</f>
        <v>#N/A</v>
      </c>
      <c r="H371" t="e">
        <f>VLOOKUP(A371, BIOSIM_REF!$A:$E, 5, FALSE)</f>
        <v>#N/A</v>
      </c>
    </row>
    <row r="372" spans="1:8" hidden="1" x14ac:dyDescent="0.25">
      <c r="A372" s="1" t="s">
        <v>734</v>
      </c>
      <c r="B372" t="s">
        <v>735</v>
      </c>
      <c r="C372">
        <v>767149.04</v>
      </c>
      <c r="D372">
        <v>5007</v>
      </c>
      <c r="E372">
        <v>153.21530659999999</v>
      </c>
      <c r="F372" t="e">
        <f>VLOOKUP(A372, BIOSIM_REF!$A:$E, 3, FALSE)</f>
        <v>#N/A</v>
      </c>
      <c r="G372" t="e">
        <f>VLOOKUP(A372, BIOSIM_REF!$A:$E, 4, FALSE)</f>
        <v>#N/A</v>
      </c>
      <c r="H372" t="e">
        <f>VLOOKUP(A372, BIOSIM_REF!$A:$E, 5, FALSE)</f>
        <v>#N/A</v>
      </c>
    </row>
    <row r="373" spans="1:8" hidden="1" x14ac:dyDescent="0.25">
      <c r="A373" s="1" t="s">
        <v>1474</v>
      </c>
      <c r="B373" t="s">
        <v>1606</v>
      </c>
      <c r="C373">
        <v>767070.1</v>
      </c>
      <c r="F373" t="e">
        <f>VLOOKUP(A373, BIOSIM_REF!$A:$E, 3, FALSE)</f>
        <v>#N/A</v>
      </c>
      <c r="G373" t="e">
        <f>VLOOKUP(A373, BIOSIM_REF!$A:$E, 4, FALSE)</f>
        <v>#N/A</v>
      </c>
      <c r="H373" t="e">
        <f>VLOOKUP(A373, BIOSIM_REF!$A:$E, 5, FALSE)</f>
        <v>#N/A</v>
      </c>
    </row>
    <row r="374" spans="1:8" hidden="1" x14ac:dyDescent="0.25">
      <c r="A374" s="1" t="s">
        <v>737</v>
      </c>
      <c r="B374" t="s">
        <v>739</v>
      </c>
      <c r="C374">
        <v>762979.76</v>
      </c>
      <c r="D374">
        <v>40</v>
      </c>
      <c r="E374">
        <v>19074.493999999999</v>
      </c>
      <c r="F374" t="e">
        <f>VLOOKUP(A374, BIOSIM_REF!$A:$E, 3, FALSE)</f>
        <v>#N/A</v>
      </c>
      <c r="G374" t="e">
        <f>VLOOKUP(A374, BIOSIM_REF!$A:$E, 4, FALSE)</f>
        <v>#N/A</v>
      </c>
      <c r="H374" t="e">
        <f>VLOOKUP(A374, BIOSIM_REF!$A:$E, 5, FALSE)</f>
        <v>#N/A</v>
      </c>
    </row>
    <row r="375" spans="1:8" hidden="1" x14ac:dyDescent="0.25">
      <c r="A375" s="1" t="s">
        <v>738</v>
      </c>
      <c r="B375" t="s">
        <v>740</v>
      </c>
      <c r="C375">
        <v>762102.35</v>
      </c>
      <c r="D375">
        <v>82288</v>
      </c>
      <c r="E375">
        <v>9.2614032420000001</v>
      </c>
      <c r="F375" t="e">
        <f>VLOOKUP(A375, BIOSIM_REF!$A:$E, 3, FALSE)</f>
        <v>#N/A</v>
      </c>
      <c r="G375" t="e">
        <f>VLOOKUP(A375, BIOSIM_REF!$A:$E, 4, FALSE)</f>
        <v>#N/A</v>
      </c>
      <c r="H375" t="e">
        <f>VLOOKUP(A375, BIOSIM_REF!$A:$E, 5, FALSE)</f>
        <v>#N/A</v>
      </c>
    </row>
    <row r="376" spans="1:8" hidden="1" x14ac:dyDescent="0.25">
      <c r="A376" s="1" t="s">
        <v>1475</v>
      </c>
      <c r="B376" t="s">
        <v>1607</v>
      </c>
      <c r="C376">
        <v>748627.44</v>
      </c>
      <c r="D376">
        <v>14</v>
      </c>
      <c r="E376">
        <v>53473.388570000003</v>
      </c>
      <c r="F376" t="e">
        <f>VLOOKUP(A376, BIOSIM_REF!$A:$E, 3, FALSE)</f>
        <v>#N/A</v>
      </c>
      <c r="G376" t="e">
        <f>VLOOKUP(A376, BIOSIM_REF!$A:$E, 4, FALSE)</f>
        <v>#N/A</v>
      </c>
      <c r="H376" t="e">
        <f>VLOOKUP(A376, BIOSIM_REF!$A:$E, 5, FALSE)</f>
        <v>#N/A</v>
      </c>
    </row>
    <row r="377" spans="1:8" hidden="1" x14ac:dyDescent="0.25">
      <c r="A377" s="1" t="s">
        <v>743</v>
      </c>
      <c r="B377" t="s">
        <v>745</v>
      </c>
      <c r="C377">
        <v>723714.17</v>
      </c>
      <c r="D377">
        <v>892</v>
      </c>
      <c r="E377">
        <v>811.33875560000001</v>
      </c>
      <c r="F377" t="e">
        <f>VLOOKUP(A377, BIOSIM_REF!$A:$E, 3, FALSE)</f>
        <v>#N/A</v>
      </c>
      <c r="G377" t="e">
        <f>VLOOKUP(A377, BIOSIM_REF!$A:$E, 4, FALSE)</f>
        <v>#N/A</v>
      </c>
      <c r="H377" t="e">
        <f>VLOOKUP(A377, BIOSIM_REF!$A:$E, 5, FALSE)</f>
        <v>#N/A</v>
      </c>
    </row>
    <row r="378" spans="1:8" hidden="1" x14ac:dyDescent="0.25">
      <c r="A378" s="1" t="s">
        <v>744</v>
      </c>
      <c r="B378" t="s">
        <v>746</v>
      </c>
      <c r="C378">
        <v>719893.08</v>
      </c>
      <c r="D378">
        <v>24</v>
      </c>
      <c r="E378">
        <v>29995.544999999998</v>
      </c>
      <c r="F378" t="e">
        <f>VLOOKUP(A378, BIOSIM_REF!$A:$E, 3, FALSE)</f>
        <v>#N/A</v>
      </c>
      <c r="G378" t="e">
        <f>VLOOKUP(A378, BIOSIM_REF!$A:$E, 4, FALSE)</f>
        <v>#N/A</v>
      </c>
      <c r="H378" t="e">
        <f>VLOOKUP(A378, BIOSIM_REF!$A:$E, 5, FALSE)</f>
        <v>#N/A</v>
      </c>
    </row>
    <row r="379" spans="1:8" hidden="1" x14ac:dyDescent="0.25">
      <c r="A379" s="1" t="s">
        <v>1476</v>
      </c>
      <c r="B379" t="s">
        <v>1608</v>
      </c>
      <c r="C379">
        <v>698773.45</v>
      </c>
      <c r="D379">
        <v>13</v>
      </c>
      <c r="E379">
        <v>53751.803849999997</v>
      </c>
      <c r="F379" t="e">
        <f>VLOOKUP(A379, BIOSIM_REF!$A:$E, 3, FALSE)</f>
        <v>#N/A</v>
      </c>
      <c r="G379" t="e">
        <f>VLOOKUP(A379, BIOSIM_REF!$A:$E, 4, FALSE)</f>
        <v>#N/A</v>
      </c>
      <c r="H379" t="e">
        <f>VLOOKUP(A379, BIOSIM_REF!$A:$E, 5, FALSE)</f>
        <v>#N/A</v>
      </c>
    </row>
    <row r="380" spans="1:8" hidden="1" x14ac:dyDescent="0.25">
      <c r="A380" s="1" t="s">
        <v>748</v>
      </c>
      <c r="B380" t="s">
        <v>749</v>
      </c>
      <c r="C380">
        <v>695012.16</v>
      </c>
      <c r="D380">
        <v>351</v>
      </c>
      <c r="E380">
        <v>1980.0916239999999</v>
      </c>
      <c r="F380" t="e">
        <f>VLOOKUP(A380, BIOSIM_REF!$A:$E, 3, FALSE)</f>
        <v>#N/A</v>
      </c>
      <c r="G380" t="e">
        <f>VLOOKUP(A380, BIOSIM_REF!$A:$E, 4, FALSE)</f>
        <v>#N/A</v>
      </c>
      <c r="H380" t="e">
        <f>VLOOKUP(A380, BIOSIM_REF!$A:$E, 5, FALSE)</f>
        <v>#N/A</v>
      </c>
    </row>
    <row r="381" spans="1:8" hidden="1" x14ac:dyDescent="0.25">
      <c r="A381" s="1" t="s">
        <v>1477</v>
      </c>
      <c r="B381" t="s">
        <v>1609</v>
      </c>
      <c r="C381">
        <v>692703.79</v>
      </c>
      <c r="D381">
        <v>164</v>
      </c>
      <c r="E381">
        <v>4223.8035980000004</v>
      </c>
      <c r="F381" t="e">
        <f>VLOOKUP(A381, BIOSIM_REF!$A:$E, 3, FALSE)</f>
        <v>#N/A</v>
      </c>
      <c r="G381" t="e">
        <f>VLOOKUP(A381, BIOSIM_REF!$A:$E, 4, FALSE)</f>
        <v>#N/A</v>
      </c>
      <c r="H381" t="e">
        <f>VLOOKUP(A381, BIOSIM_REF!$A:$E, 5, FALSE)</f>
        <v>#N/A</v>
      </c>
    </row>
    <row r="382" spans="1:8" hidden="1" x14ac:dyDescent="0.25">
      <c r="A382" s="1" t="s">
        <v>750</v>
      </c>
      <c r="B382" t="s">
        <v>751</v>
      </c>
      <c r="C382">
        <v>683929.23</v>
      </c>
      <c r="D382">
        <v>85303</v>
      </c>
      <c r="E382">
        <v>8.0176456869999999</v>
      </c>
      <c r="F382" t="e">
        <f>VLOOKUP(A382, BIOSIM_REF!$A:$E, 3, FALSE)</f>
        <v>#N/A</v>
      </c>
      <c r="G382" t="e">
        <f>VLOOKUP(A382, BIOSIM_REF!$A:$E, 4, FALSE)</f>
        <v>#N/A</v>
      </c>
      <c r="H382" t="e">
        <f>VLOOKUP(A382, BIOSIM_REF!$A:$E, 5, FALSE)</f>
        <v>#N/A</v>
      </c>
    </row>
    <row r="383" spans="1:8" hidden="1" x14ac:dyDescent="0.25">
      <c r="A383" s="1" t="s">
        <v>1478</v>
      </c>
      <c r="B383" t="s">
        <v>1610</v>
      </c>
      <c r="C383">
        <v>667612.32999999996</v>
      </c>
      <c r="D383">
        <v>88</v>
      </c>
      <c r="E383">
        <v>7586.5037499999999</v>
      </c>
      <c r="F383" t="e">
        <f>VLOOKUP(A383, BIOSIM_REF!$A:$E, 3, FALSE)</f>
        <v>#N/A</v>
      </c>
      <c r="G383" t="e">
        <f>VLOOKUP(A383, BIOSIM_REF!$A:$E, 4, FALSE)</f>
        <v>#N/A</v>
      </c>
      <c r="H383" t="e">
        <f>VLOOKUP(A383, BIOSIM_REF!$A:$E, 5, FALSE)</f>
        <v>#N/A</v>
      </c>
    </row>
    <row r="384" spans="1:8" hidden="1" x14ac:dyDescent="0.25">
      <c r="A384" s="1" t="s">
        <v>752</v>
      </c>
      <c r="B384" t="s">
        <v>758</v>
      </c>
      <c r="C384">
        <v>644743.26</v>
      </c>
      <c r="D384">
        <v>39040</v>
      </c>
      <c r="E384">
        <v>16.514940060000001</v>
      </c>
      <c r="F384" t="e">
        <f>VLOOKUP(A384, BIOSIM_REF!$A:$E, 3, FALSE)</f>
        <v>#N/A</v>
      </c>
      <c r="G384" t="e">
        <f>VLOOKUP(A384, BIOSIM_REF!$A:$E, 4, FALSE)</f>
        <v>#N/A</v>
      </c>
      <c r="H384" t="e">
        <f>VLOOKUP(A384, BIOSIM_REF!$A:$E, 5, FALSE)</f>
        <v>#N/A</v>
      </c>
    </row>
    <row r="385" spans="1:8" hidden="1" x14ac:dyDescent="0.25">
      <c r="A385" s="1" t="s">
        <v>753</v>
      </c>
      <c r="B385" t="s">
        <v>759</v>
      </c>
      <c r="C385">
        <v>642328.11</v>
      </c>
      <c r="D385">
        <v>10837</v>
      </c>
      <c r="E385">
        <v>59.271764330000003</v>
      </c>
      <c r="F385" t="e">
        <f>VLOOKUP(A385, BIOSIM_REF!$A:$E, 3, FALSE)</f>
        <v>#N/A</v>
      </c>
      <c r="G385" t="e">
        <f>VLOOKUP(A385, BIOSIM_REF!$A:$E, 4, FALSE)</f>
        <v>#N/A</v>
      </c>
      <c r="H385" t="e">
        <f>VLOOKUP(A385, BIOSIM_REF!$A:$E, 5, FALSE)</f>
        <v>#N/A</v>
      </c>
    </row>
    <row r="386" spans="1:8" hidden="1" x14ac:dyDescent="0.25">
      <c r="A386" s="1" t="s">
        <v>754</v>
      </c>
      <c r="B386" t="s">
        <v>760</v>
      </c>
      <c r="C386">
        <v>618017.87</v>
      </c>
      <c r="D386">
        <v>64</v>
      </c>
      <c r="E386">
        <v>9656.529219</v>
      </c>
      <c r="F386" t="e">
        <f>VLOOKUP(A386, BIOSIM_REF!$A:$E, 3, FALSE)</f>
        <v>#N/A</v>
      </c>
      <c r="G386" t="e">
        <f>VLOOKUP(A386, BIOSIM_REF!$A:$E, 4, FALSE)</f>
        <v>#N/A</v>
      </c>
      <c r="H386" t="e">
        <f>VLOOKUP(A386, BIOSIM_REF!$A:$E, 5, FALSE)</f>
        <v>#N/A</v>
      </c>
    </row>
    <row r="387" spans="1:8" hidden="1" x14ac:dyDescent="0.25">
      <c r="A387" s="1" t="s">
        <v>755</v>
      </c>
      <c r="B387" t="s">
        <v>761</v>
      </c>
      <c r="C387">
        <v>603075.92000000004</v>
      </c>
      <c r="D387">
        <v>19068</v>
      </c>
      <c r="E387">
        <v>31.627644220000001</v>
      </c>
      <c r="F387" t="e">
        <f>VLOOKUP(A387, BIOSIM_REF!$A:$E, 3, FALSE)</f>
        <v>#N/A</v>
      </c>
      <c r="G387" t="e">
        <f>VLOOKUP(A387, BIOSIM_REF!$A:$E, 4, FALSE)</f>
        <v>#N/A</v>
      </c>
      <c r="H387" t="e">
        <f>VLOOKUP(A387, BIOSIM_REF!$A:$E, 5, FALSE)</f>
        <v>#N/A</v>
      </c>
    </row>
    <row r="388" spans="1:8" hidden="1" x14ac:dyDescent="0.25">
      <c r="A388" s="1" t="s">
        <v>756</v>
      </c>
      <c r="B388" t="s">
        <v>762</v>
      </c>
      <c r="C388">
        <v>598555.65</v>
      </c>
      <c r="D388">
        <v>267</v>
      </c>
      <c r="E388">
        <v>2241.781461</v>
      </c>
      <c r="F388" t="e">
        <f>VLOOKUP(A388, BIOSIM_REF!$A:$E, 3, FALSE)</f>
        <v>#N/A</v>
      </c>
      <c r="G388" t="e">
        <f>VLOOKUP(A388, BIOSIM_REF!$A:$E, 4, FALSE)</f>
        <v>#N/A</v>
      </c>
      <c r="H388" t="e">
        <f>VLOOKUP(A388, BIOSIM_REF!$A:$E, 5, FALSE)</f>
        <v>#N/A</v>
      </c>
    </row>
    <row r="389" spans="1:8" hidden="1" x14ac:dyDescent="0.25">
      <c r="A389" s="1" t="s">
        <v>757</v>
      </c>
      <c r="B389" t="s">
        <v>763</v>
      </c>
      <c r="C389">
        <v>597889.12</v>
      </c>
      <c r="D389">
        <v>54</v>
      </c>
      <c r="E389">
        <v>11072.02074</v>
      </c>
      <c r="F389" t="e">
        <f>VLOOKUP(A389, BIOSIM_REF!$A:$E, 3, FALSE)</f>
        <v>#N/A</v>
      </c>
      <c r="G389" t="e">
        <f>VLOOKUP(A389, BIOSIM_REF!$A:$E, 4, FALSE)</f>
        <v>#N/A</v>
      </c>
      <c r="H389" t="e">
        <f>VLOOKUP(A389, BIOSIM_REF!$A:$E, 5, FALSE)</f>
        <v>#N/A</v>
      </c>
    </row>
    <row r="390" spans="1:8" hidden="1" x14ac:dyDescent="0.25">
      <c r="A390" s="1" t="s">
        <v>1479</v>
      </c>
      <c r="B390" t="s">
        <v>1611</v>
      </c>
      <c r="C390">
        <v>587908.94999999995</v>
      </c>
      <c r="D390">
        <v>192</v>
      </c>
      <c r="E390">
        <v>3062.0257809999998</v>
      </c>
      <c r="F390" t="e">
        <f>VLOOKUP(A390, BIOSIM_REF!$A:$E, 3, FALSE)</f>
        <v>#N/A</v>
      </c>
      <c r="G390" t="e">
        <f>VLOOKUP(A390, BIOSIM_REF!$A:$E, 4, FALSE)</f>
        <v>#N/A</v>
      </c>
      <c r="H390" t="e">
        <f>VLOOKUP(A390, BIOSIM_REF!$A:$E, 5, FALSE)</f>
        <v>#N/A</v>
      </c>
    </row>
    <row r="391" spans="1:8" hidden="1" x14ac:dyDescent="0.25">
      <c r="A391" s="1" t="s">
        <v>767</v>
      </c>
      <c r="B391" t="s">
        <v>788</v>
      </c>
      <c r="C391">
        <v>573116.12</v>
      </c>
      <c r="D391">
        <v>2196</v>
      </c>
      <c r="E391">
        <v>260.98183970000002</v>
      </c>
      <c r="F391" t="e">
        <f>VLOOKUP(A391, BIOSIM_REF!$A:$E, 3, FALSE)</f>
        <v>#N/A</v>
      </c>
      <c r="G391" t="e">
        <f>VLOOKUP(A391, BIOSIM_REF!$A:$E, 4, FALSE)</f>
        <v>#N/A</v>
      </c>
      <c r="H391" t="e">
        <f>VLOOKUP(A391, BIOSIM_REF!$A:$E, 5, FALSE)</f>
        <v>#N/A</v>
      </c>
    </row>
    <row r="392" spans="1:8" hidden="1" x14ac:dyDescent="0.25">
      <c r="A392" s="1" t="s">
        <v>768</v>
      </c>
      <c r="B392" t="s">
        <v>789</v>
      </c>
      <c r="C392">
        <v>571773.80000000005</v>
      </c>
      <c r="D392">
        <v>342</v>
      </c>
      <c r="E392">
        <v>1671.853216</v>
      </c>
      <c r="F392" t="e">
        <f>VLOOKUP(A392, BIOSIM_REF!$A:$E, 3, FALSE)</f>
        <v>#N/A</v>
      </c>
      <c r="G392" t="e">
        <f>VLOOKUP(A392, BIOSIM_REF!$A:$E, 4, FALSE)</f>
        <v>#N/A</v>
      </c>
      <c r="H392" t="e">
        <f>VLOOKUP(A392, BIOSIM_REF!$A:$E, 5, FALSE)</f>
        <v>#N/A</v>
      </c>
    </row>
    <row r="393" spans="1:8" hidden="1" x14ac:dyDescent="0.25">
      <c r="A393" s="1" t="s">
        <v>769</v>
      </c>
      <c r="B393" t="s">
        <v>790</v>
      </c>
      <c r="C393">
        <v>563198.97</v>
      </c>
      <c r="D393">
        <v>15</v>
      </c>
      <c r="E393">
        <v>37546.597999999998</v>
      </c>
      <c r="F393" t="e">
        <f>VLOOKUP(A393, BIOSIM_REF!$A:$E, 3, FALSE)</f>
        <v>#N/A</v>
      </c>
      <c r="G393" t="e">
        <f>VLOOKUP(A393, BIOSIM_REF!$A:$E, 4, FALSE)</f>
        <v>#N/A</v>
      </c>
      <c r="H393" t="e">
        <f>VLOOKUP(A393, BIOSIM_REF!$A:$E, 5, FALSE)</f>
        <v>#N/A</v>
      </c>
    </row>
    <row r="394" spans="1:8" hidden="1" x14ac:dyDescent="0.25">
      <c r="A394" s="1" t="s">
        <v>770</v>
      </c>
      <c r="B394" t="s">
        <v>791</v>
      </c>
      <c r="C394">
        <v>527192.27</v>
      </c>
      <c r="D394">
        <v>6424</v>
      </c>
      <c r="E394">
        <v>82.066044520000005</v>
      </c>
      <c r="F394" t="e">
        <f>VLOOKUP(A394, BIOSIM_REF!$A:$E, 3, FALSE)</f>
        <v>#N/A</v>
      </c>
      <c r="G394" t="e">
        <f>VLOOKUP(A394, BIOSIM_REF!$A:$E, 4, FALSE)</f>
        <v>#N/A</v>
      </c>
      <c r="H394" t="e">
        <f>VLOOKUP(A394, BIOSIM_REF!$A:$E, 5, FALSE)</f>
        <v>#N/A</v>
      </c>
    </row>
    <row r="395" spans="1:8" hidden="1" x14ac:dyDescent="0.25">
      <c r="A395" s="1" t="s">
        <v>771</v>
      </c>
      <c r="B395" t="s">
        <v>792</v>
      </c>
      <c r="C395">
        <v>523894.99</v>
      </c>
      <c r="D395">
        <v>58111</v>
      </c>
      <c r="E395">
        <v>9.015418596</v>
      </c>
      <c r="F395" t="e">
        <f>VLOOKUP(A395, BIOSIM_REF!$A:$E, 3, FALSE)</f>
        <v>#N/A</v>
      </c>
      <c r="G395" t="e">
        <f>VLOOKUP(A395, BIOSIM_REF!$A:$E, 4, FALSE)</f>
        <v>#N/A</v>
      </c>
      <c r="H395" t="e">
        <f>VLOOKUP(A395, BIOSIM_REF!$A:$E, 5, FALSE)</f>
        <v>#N/A</v>
      </c>
    </row>
    <row r="396" spans="1:8" hidden="1" x14ac:dyDescent="0.25">
      <c r="A396" s="1" t="s">
        <v>772</v>
      </c>
      <c r="B396" t="s">
        <v>793</v>
      </c>
      <c r="C396">
        <v>520505.23</v>
      </c>
      <c r="D396">
        <v>4604</v>
      </c>
      <c r="E396">
        <v>113.0550022</v>
      </c>
      <c r="F396" t="e">
        <f>VLOOKUP(A396, BIOSIM_REF!$A:$E, 3, FALSE)</f>
        <v>#N/A</v>
      </c>
      <c r="G396" t="e">
        <f>VLOOKUP(A396, BIOSIM_REF!$A:$E, 4, FALSE)</f>
        <v>#N/A</v>
      </c>
      <c r="H396" t="e">
        <f>VLOOKUP(A396, BIOSIM_REF!$A:$E, 5, FALSE)</f>
        <v>#N/A</v>
      </c>
    </row>
    <row r="397" spans="1:8" hidden="1" x14ac:dyDescent="0.25">
      <c r="A397" s="1" t="s">
        <v>773</v>
      </c>
      <c r="B397" t="s">
        <v>794</v>
      </c>
      <c r="C397">
        <v>510526.06</v>
      </c>
      <c r="D397">
        <v>38603</v>
      </c>
      <c r="E397">
        <v>13.22503588</v>
      </c>
      <c r="F397" t="e">
        <f>VLOOKUP(A397, BIOSIM_REF!$A:$E, 3, FALSE)</f>
        <v>#N/A</v>
      </c>
      <c r="G397" t="e">
        <f>VLOOKUP(A397, BIOSIM_REF!$A:$E, 4, FALSE)</f>
        <v>#N/A</v>
      </c>
      <c r="H397" t="e">
        <f>VLOOKUP(A397, BIOSIM_REF!$A:$E, 5, FALSE)</f>
        <v>#N/A</v>
      </c>
    </row>
    <row r="398" spans="1:8" hidden="1" x14ac:dyDescent="0.25">
      <c r="A398" s="1" t="s">
        <v>774</v>
      </c>
      <c r="B398" t="s">
        <v>795</v>
      </c>
      <c r="C398">
        <v>504301.41</v>
      </c>
      <c r="D398">
        <v>327</v>
      </c>
      <c r="E398">
        <v>1542.2061470000001</v>
      </c>
      <c r="F398" t="e">
        <f>VLOOKUP(A398, BIOSIM_REF!$A:$E, 3, FALSE)</f>
        <v>#N/A</v>
      </c>
      <c r="G398" t="e">
        <f>VLOOKUP(A398, BIOSIM_REF!$A:$E, 4, FALSE)</f>
        <v>#N/A</v>
      </c>
      <c r="H398" t="e">
        <f>VLOOKUP(A398, BIOSIM_REF!$A:$E, 5, FALSE)</f>
        <v>#N/A</v>
      </c>
    </row>
    <row r="399" spans="1:8" hidden="1" x14ac:dyDescent="0.25">
      <c r="A399" s="1" t="s">
        <v>775</v>
      </c>
      <c r="B399" t="s">
        <v>796</v>
      </c>
      <c r="C399">
        <v>485073.72</v>
      </c>
      <c r="D399">
        <v>5707</v>
      </c>
      <c r="E399">
        <v>84.996271250000007</v>
      </c>
      <c r="F399" t="e">
        <f>VLOOKUP(A399, BIOSIM_REF!$A:$E, 3, FALSE)</f>
        <v>#N/A</v>
      </c>
      <c r="G399" t="e">
        <f>VLOOKUP(A399, BIOSIM_REF!$A:$E, 4, FALSE)</f>
        <v>#N/A</v>
      </c>
      <c r="H399" t="e">
        <f>VLOOKUP(A399, BIOSIM_REF!$A:$E, 5, FALSE)</f>
        <v>#N/A</v>
      </c>
    </row>
    <row r="400" spans="1:8" hidden="1" x14ac:dyDescent="0.25">
      <c r="A400" s="1" t="s">
        <v>776</v>
      </c>
      <c r="B400" t="s">
        <v>797</v>
      </c>
      <c r="C400">
        <v>484209.39</v>
      </c>
      <c r="D400">
        <v>4348</v>
      </c>
      <c r="E400">
        <v>111.3637052</v>
      </c>
      <c r="F400" t="e">
        <f>VLOOKUP(A400, BIOSIM_REF!$A:$E, 3, FALSE)</f>
        <v>#N/A</v>
      </c>
      <c r="G400" t="e">
        <f>VLOOKUP(A400, BIOSIM_REF!$A:$E, 4, FALSE)</f>
        <v>#N/A</v>
      </c>
      <c r="H400" t="e">
        <f>VLOOKUP(A400, BIOSIM_REF!$A:$E, 5, FALSE)</f>
        <v>#N/A</v>
      </c>
    </row>
    <row r="401" spans="1:8" hidden="1" x14ac:dyDescent="0.25">
      <c r="A401" s="1" t="s">
        <v>777</v>
      </c>
      <c r="B401" t="s">
        <v>798</v>
      </c>
      <c r="C401">
        <v>483236.21</v>
      </c>
      <c r="D401">
        <v>30</v>
      </c>
      <c r="E401">
        <v>16107.873670000001</v>
      </c>
      <c r="F401" t="e">
        <f>VLOOKUP(A401, BIOSIM_REF!$A:$E, 3, FALSE)</f>
        <v>#N/A</v>
      </c>
      <c r="G401" t="e">
        <f>VLOOKUP(A401, BIOSIM_REF!$A:$E, 4, FALSE)</f>
        <v>#N/A</v>
      </c>
      <c r="H401" t="e">
        <f>VLOOKUP(A401, BIOSIM_REF!$A:$E, 5, FALSE)</f>
        <v>#N/A</v>
      </c>
    </row>
    <row r="402" spans="1:8" hidden="1" x14ac:dyDescent="0.25">
      <c r="A402" s="1" t="s">
        <v>778</v>
      </c>
      <c r="B402" t="s">
        <v>799</v>
      </c>
      <c r="C402">
        <v>474879.81</v>
      </c>
      <c r="D402">
        <v>250</v>
      </c>
      <c r="E402">
        <v>1899.5192400000001</v>
      </c>
      <c r="F402" t="e">
        <f>VLOOKUP(A402, BIOSIM_REF!$A:$E, 3, FALSE)</f>
        <v>#N/A</v>
      </c>
      <c r="G402" t="e">
        <f>VLOOKUP(A402, BIOSIM_REF!$A:$E, 4, FALSE)</f>
        <v>#N/A</v>
      </c>
      <c r="H402" t="e">
        <f>VLOOKUP(A402, BIOSIM_REF!$A:$E, 5, FALSE)</f>
        <v>#N/A</v>
      </c>
    </row>
    <row r="403" spans="1:8" hidden="1" x14ac:dyDescent="0.25">
      <c r="A403" s="1" t="s">
        <v>779</v>
      </c>
      <c r="B403" t="s">
        <v>800</v>
      </c>
      <c r="C403">
        <v>469167.35999999999</v>
      </c>
      <c r="D403">
        <v>104798</v>
      </c>
      <c r="E403">
        <v>4.4768732230000001</v>
      </c>
      <c r="F403" t="e">
        <f>VLOOKUP(A403, BIOSIM_REF!$A:$E, 3, FALSE)</f>
        <v>#N/A</v>
      </c>
      <c r="G403" t="e">
        <f>VLOOKUP(A403, BIOSIM_REF!$A:$E, 4, FALSE)</f>
        <v>#N/A</v>
      </c>
      <c r="H403" t="e">
        <f>VLOOKUP(A403, BIOSIM_REF!$A:$E, 5, FALSE)</f>
        <v>#N/A</v>
      </c>
    </row>
    <row r="404" spans="1:8" hidden="1" x14ac:dyDescent="0.25">
      <c r="A404" s="1" t="s">
        <v>780</v>
      </c>
      <c r="B404" t="s">
        <v>801</v>
      </c>
      <c r="C404">
        <v>464046.88</v>
      </c>
      <c r="D404">
        <v>760</v>
      </c>
      <c r="E404">
        <v>610.58799999999997</v>
      </c>
      <c r="F404" t="e">
        <f>VLOOKUP(A404, BIOSIM_REF!$A:$E, 3, FALSE)</f>
        <v>#N/A</v>
      </c>
      <c r="G404" t="e">
        <f>VLOOKUP(A404, BIOSIM_REF!$A:$E, 4, FALSE)</f>
        <v>#N/A</v>
      </c>
      <c r="H404" t="e">
        <f>VLOOKUP(A404, BIOSIM_REF!$A:$E, 5, FALSE)</f>
        <v>#N/A</v>
      </c>
    </row>
    <row r="405" spans="1:8" hidden="1" x14ac:dyDescent="0.25">
      <c r="A405" s="1" t="s">
        <v>781</v>
      </c>
      <c r="B405" t="s">
        <v>802</v>
      </c>
      <c r="C405">
        <v>461566.88</v>
      </c>
      <c r="D405">
        <v>7052</v>
      </c>
      <c r="E405">
        <v>65.451911510000002</v>
      </c>
      <c r="F405" t="e">
        <f>VLOOKUP(A405, BIOSIM_REF!$A:$E, 3, FALSE)</f>
        <v>#N/A</v>
      </c>
      <c r="G405" t="e">
        <f>VLOOKUP(A405, BIOSIM_REF!$A:$E, 4, FALSE)</f>
        <v>#N/A</v>
      </c>
      <c r="H405" t="e">
        <f>VLOOKUP(A405, BIOSIM_REF!$A:$E, 5, FALSE)</f>
        <v>#N/A</v>
      </c>
    </row>
    <row r="406" spans="1:8" hidden="1" x14ac:dyDescent="0.25">
      <c r="A406" s="1" t="s">
        <v>782</v>
      </c>
      <c r="B406" t="s">
        <v>803</v>
      </c>
      <c r="C406">
        <v>460222.2</v>
      </c>
      <c r="D406">
        <v>3527</v>
      </c>
      <c r="E406">
        <v>130.4854551</v>
      </c>
      <c r="F406" t="e">
        <f>VLOOKUP(A406, BIOSIM_REF!$A:$E, 3, FALSE)</f>
        <v>#N/A</v>
      </c>
      <c r="G406" t="e">
        <f>VLOOKUP(A406, BIOSIM_REF!$A:$E, 4, FALSE)</f>
        <v>#N/A</v>
      </c>
      <c r="H406" t="e">
        <f>VLOOKUP(A406, BIOSIM_REF!$A:$E, 5, FALSE)</f>
        <v>#N/A</v>
      </c>
    </row>
    <row r="407" spans="1:8" hidden="1" x14ac:dyDescent="0.25">
      <c r="A407" s="1" t="s">
        <v>783</v>
      </c>
      <c r="B407" t="s">
        <v>804</v>
      </c>
      <c r="C407">
        <v>452921.63</v>
      </c>
      <c r="D407">
        <v>1665</v>
      </c>
      <c r="E407">
        <v>272.02500300000003</v>
      </c>
      <c r="F407" t="e">
        <f>VLOOKUP(A407, BIOSIM_REF!$A:$E, 3, FALSE)</f>
        <v>#N/A</v>
      </c>
      <c r="G407" t="e">
        <f>VLOOKUP(A407, BIOSIM_REF!$A:$E, 4, FALSE)</f>
        <v>#N/A</v>
      </c>
      <c r="H407" t="e">
        <f>VLOOKUP(A407, BIOSIM_REF!$A:$E, 5, FALSE)</f>
        <v>#N/A</v>
      </c>
    </row>
    <row r="408" spans="1:8" hidden="1" x14ac:dyDescent="0.25">
      <c r="A408" s="1" t="s">
        <v>784</v>
      </c>
      <c r="B408" t="s">
        <v>805</v>
      </c>
      <c r="C408">
        <v>445531.4</v>
      </c>
      <c r="F408" t="e">
        <f>VLOOKUP(A408, BIOSIM_REF!$A:$E, 3, FALSE)</f>
        <v>#N/A</v>
      </c>
      <c r="G408" t="e">
        <f>VLOOKUP(A408, BIOSIM_REF!$A:$E, 4, FALSE)</f>
        <v>#N/A</v>
      </c>
      <c r="H408" t="e">
        <f>VLOOKUP(A408, BIOSIM_REF!$A:$E, 5, FALSE)</f>
        <v>#N/A</v>
      </c>
    </row>
    <row r="409" spans="1:8" hidden="1" x14ac:dyDescent="0.25">
      <c r="A409" s="1" t="s">
        <v>785</v>
      </c>
      <c r="B409" t="s">
        <v>806</v>
      </c>
      <c r="C409">
        <v>441253.74</v>
      </c>
      <c r="D409">
        <v>335</v>
      </c>
      <c r="E409">
        <v>1317.1753430000001</v>
      </c>
      <c r="F409" t="e">
        <f>VLOOKUP(A409, BIOSIM_REF!$A:$E, 3, FALSE)</f>
        <v>#N/A</v>
      </c>
      <c r="G409" t="e">
        <f>VLOOKUP(A409, BIOSIM_REF!$A:$E, 4, FALSE)</f>
        <v>#N/A</v>
      </c>
      <c r="H409" t="e">
        <f>VLOOKUP(A409, BIOSIM_REF!$A:$E, 5, FALSE)</f>
        <v>#N/A</v>
      </c>
    </row>
    <row r="410" spans="1:8" hidden="1" x14ac:dyDescent="0.25">
      <c r="A410" s="1" t="s">
        <v>786</v>
      </c>
      <c r="B410" t="s">
        <v>807</v>
      </c>
      <c r="C410">
        <v>423811.57</v>
      </c>
      <c r="D410">
        <v>986</v>
      </c>
      <c r="E410">
        <v>429.82917850000001</v>
      </c>
      <c r="F410" t="e">
        <f>VLOOKUP(A410, BIOSIM_REF!$A:$E, 3, FALSE)</f>
        <v>#N/A</v>
      </c>
      <c r="G410" t="e">
        <f>VLOOKUP(A410, BIOSIM_REF!$A:$E, 4, FALSE)</f>
        <v>#N/A</v>
      </c>
      <c r="H410" t="e">
        <f>VLOOKUP(A410, BIOSIM_REF!$A:$E, 5, FALSE)</f>
        <v>#N/A</v>
      </c>
    </row>
    <row r="411" spans="1:8" hidden="1" x14ac:dyDescent="0.25">
      <c r="A411" s="1" t="s">
        <v>787</v>
      </c>
      <c r="B411" t="s">
        <v>808</v>
      </c>
      <c r="C411">
        <v>413085.76</v>
      </c>
      <c r="D411">
        <v>6596</v>
      </c>
      <c r="E411">
        <v>62.626707099999997</v>
      </c>
      <c r="F411" t="e">
        <f>VLOOKUP(A411, BIOSIM_REF!$A:$E, 3, FALSE)</f>
        <v>#N/A</v>
      </c>
      <c r="G411" t="e">
        <f>VLOOKUP(A411, BIOSIM_REF!$A:$E, 4, FALSE)</f>
        <v>#N/A</v>
      </c>
      <c r="H411" t="e">
        <f>VLOOKUP(A411, BIOSIM_REF!$A:$E, 5, FALSE)</f>
        <v>#N/A</v>
      </c>
    </row>
    <row r="412" spans="1:8" hidden="1" x14ac:dyDescent="0.25">
      <c r="A412" s="1" t="s">
        <v>1480</v>
      </c>
      <c r="B412" t="s">
        <v>1612</v>
      </c>
      <c r="C412">
        <v>409090.24</v>
      </c>
      <c r="F412" t="e">
        <f>VLOOKUP(A412, BIOSIM_REF!$A:$E, 3, FALSE)</f>
        <v>#N/A</v>
      </c>
      <c r="G412" t="e">
        <f>VLOOKUP(A412, BIOSIM_REF!$A:$E, 4, FALSE)</f>
        <v>#N/A</v>
      </c>
      <c r="H412" t="e">
        <f>VLOOKUP(A412, BIOSIM_REF!$A:$E, 5, FALSE)</f>
        <v>#N/A</v>
      </c>
    </row>
    <row r="413" spans="1:8" hidden="1" x14ac:dyDescent="0.25">
      <c r="A413" s="1" t="s">
        <v>1481</v>
      </c>
      <c r="B413" t="s">
        <v>1613</v>
      </c>
      <c r="C413">
        <v>390550.39</v>
      </c>
      <c r="D413">
        <v>254</v>
      </c>
      <c r="E413">
        <v>1537.5999609999999</v>
      </c>
      <c r="F413" t="e">
        <f>VLOOKUP(A413, BIOSIM_REF!$A:$E, 3, FALSE)</f>
        <v>#N/A</v>
      </c>
      <c r="G413" t="e">
        <f>VLOOKUP(A413, BIOSIM_REF!$A:$E, 4, FALSE)</f>
        <v>#N/A</v>
      </c>
      <c r="H413" t="e">
        <f>VLOOKUP(A413, BIOSIM_REF!$A:$E, 5, FALSE)</f>
        <v>#N/A</v>
      </c>
    </row>
    <row r="414" spans="1:8" hidden="1" x14ac:dyDescent="0.25">
      <c r="A414" s="1" t="s">
        <v>823</v>
      </c>
      <c r="B414" t="s">
        <v>833</v>
      </c>
      <c r="C414">
        <v>388299.69</v>
      </c>
      <c r="D414">
        <v>727</v>
      </c>
      <c r="E414">
        <v>534.11236589999999</v>
      </c>
      <c r="F414" t="e">
        <f>VLOOKUP(A414, BIOSIM_REF!$A:$E, 3, FALSE)</f>
        <v>#N/A</v>
      </c>
      <c r="G414" t="e">
        <f>VLOOKUP(A414, BIOSIM_REF!$A:$E, 4, FALSE)</f>
        <v>#N/A</v>
      </c>
      <c r="H414" t="e">
        <f>VLOOKUP(A414, BIOSIM_REF!$A:$E, 5, FALSE)</f>
        <v>#N/A</v>
      </c>
    </row>
    <row r="415" spans="1:8" hidden="1" x14ac:dyDescent="0.25">
      <c r="A415" s="1" t="s">
        <v>824</v>
      </c>
      <c r="B415" t="s">
        <v>834</v>
      </c>
      <c r="C415">
        <v>373917.38</v>
      </c>
      <c r="F415" t="e">
        <f>VLOOKUP(A415, BIOSIM_REF!$A:$E, 3, FALSE)</f>
        <v>#N/A</v>
      </c>
      <c r="G415" t="e">
        <f>VLOOKUP(A415, BIOSIM_REF!$A:$E, 4, FALSE)</f>
        <v>#N/A</v>
      </c>
      <c r="H415" t="e">
        <f>VLOOKUP(A415, BIOSIM_REF!$A:$E, 5, FALSE)</f>
        <v>#N/A</v>
      </c>
    </row>
    <row r="416" spans="1:8" hidden="1" x14ac:dyDescent="0.25">
      <c r="A416" s="1" t="s">
        <v>825</v>
      </c>
      <c r="B416" t="s">
        <v>835</v>
      </c>
      <c r="C416">
        <v>373358.44</v>
      </c>
      <c r="D416">
        <v>16586</v>
      </c>
      <c r="E416">
        <v>22.51045701</v>
      </c>
      <c r="F416" t="e">
        <f>VLOOKUP(A416, BIOSIM_REF!$A:$E, 3, FALSE)</f>
        <v>#N/A</v>
      </c>
      <c r="G416" t="e">
        <f>VLOOKUP(A416, BIOSIM_REF!$A:$E, 4, FALSE)</f>
        <v>#N/A</v>
      </c>
      <c r="H416" t="e">
        <f>VLOOKUP(A416, BIOSIM_REF!$A:$E, 5, FALSE)</f>
        <v>#N/A</v>
      </c>
    </row>
    <row r="417" spans="1:8" hidden="1" x14ac:dyDescent="0.25">
      <c r="A417" s="1" t="s">
        <v>826</v>
      </c>
      <c r="B417" t="s">
        <v>836</v>
      </c>
      <c r="C417">
        <v>371160.51</v>
      </c>
      <c r="D417">
        <v>96653</v>
      </c>
      <c r="E417">
        <v>3.840134398</v>
      </c>
      <c r="F417" t="e">
        <f>VLOOKUP(A417, BIOSIM_REF!$A:$E, 3, FALSE)</f>
        <v>#N/A</v>
      </c>
      <c r="G417" t="e">
        <f>VLOOKUP(A417, BIOSIM_REF!$A:$E, 4, FALSE)</f>
        <v>#N/A</v>
      </c>
      <c r="H417" t="e">
        <f>VLOOKUP(A417, BIOSIM_REF!$A:$E, 5, FALSE)</f>
        <v>#N/A</v>
      </c>
    </row>
    <row r="418" spans="1:8" hidden="1" x14ac:dyDescent="0.25">
      <c r="A418" s="1" t="s">
        <v>827</v>
      </c>
      <c r="B418" t="s">
        <v>837</v>
      </c>
      <c r="C418">
        <v>370547.5</v>
      </c>
      <c r="D418">
        <v>21194</v>
      </c>
      <c r="E418">
        <v>17.483603850000002</v>
      </c>
      <c r="F418" t="e">
        <f>VLOOKUP(A418, BIOSIM_REF!$A:$E, 3, FALSE)</f>
        <v>#N/A</v>
      </c>
      <c r="G418" t="e">
        <f>VLOOKUP(A418, BIOSIM_REF!$A:$E, 4, FALSE)</f>
        <v>#N/A</v>
      </c>
      <c r="H418" t="e">
        <f>VLOOKUP(A418, BIOSIM_REF!$A:$E, 5, FALSE)</f>
        <v>#N/A</v>
      </c>
    </row>
    <row r="419" spans="1:8" hidden="1" x14ac:dyDescent="0.25">
      <c r="A419" s="1" t="s">
        <v>828</v>
      </c>
      <c r="B419" t="s">
        <v>838</v>
      </c>
      <c r="C419">
        <v>368417.43</v>
      </c>
      <c r="D419">
        <v>267</v>
      </c>
      <c r="E419">
        <v>1379.8405620000001</v>
      </c>
      <c r="F419" t="e">
        <f>VLOOKUP(A419, BIOSIM_REF!$A:$E, 3, FALSE)</f>
        <v>#N/A</v>
      </c>
      <c r="G419" t="e">
        <f>VLOOKUP(A419, BIOSIM_REF!$A:$E, 4, FALSE)</f>
        <v>#N/A</v>
      </c>
      <c r="H419" t="e">
        <f>VLOOKUP(A419, BIOSIM_REF!$A:$E, 5, FALSE)</f>
        <v>#N/A</v>
      </c>
    </row>
    <row r="420" spans="1:8" hidden="1" x14ac:dyDescent="0.25">
      <c r="A420" s="1" t="s">
        <v>829</v>
      </c>
      <c r="B420" t="s">
        <v>839</v>
      </c>
      <c r="C420">
        <v>362712.8</v>
      </c>
      <c r="D420">
        <v>2650</v>
      </c>
      <c r="E420">
        <v>136.8727547</v>
      </c>
      <c r="F420" t="e">
        <f>VLOOKUP(A420, BIOSIM_REF!$A:$E, 3, FALSE)</f>
        <v>#N/A</v>
      </c>
      <c r="G420" t="e">
        <f>VLOOKUP(A420, BIOSIM_REF!$A:$E, 4, FALSE)</f>
        <v>#N/A</v>
      </c>
      <c r="H420" t="e">
        <f>VLOOKUP(A420, BIOSIM_REF!$A:$E, 5, FALSE)</f>
        <v>#N/A</v>
      </c>
    </row>
    <row r="421" spans="1:8" hidden="1" x14ac:dyDescent="0.25">
      <c r="A421" s="1" t="s">
        <v>830</v>
      </c>
      <c r="B421" t="s">
        <v>840</v>
      </c>
      <c r="C421">
        <v>342344.1</v>
      </c>
      <c r="D421">
        <v>17591</v>
      </c>
      <c r="E421">
        <v>19.461321130000002</v>
      </c>
      <c r="F421" t="e">
        <f>VLOOKUP(A421, BIOSIM_REF!$A:$E, 3, FALSE)</f>
        <v>#N/A</v>
      </c>
      <c r="G421" t="e">
        <f>VLOOKUP(A421, BIOSIM_REF!$A:$E, 4, FALSE)</f>
        <v>#N/A</v>
      </c>
      <c r="H421" t="e">
        <f>VLOOKUP(A421, BIOSIM_REF!$A:$E, 5, FALSE)</f>
        <v>#N/A</v>
      </c>
    </row>
    <row r="422" spans="1:8" hidden="1" x14ac:dyDescent="0.25">
      <c r="A422" s="1" t="s">
        <v>831</v>
      </c>
      <c r="B422" t="s">
        <v>841</v>
      </c>
      <c r="C422">
        <v>331573.95</v>
      </c>
      <c r="D422">
        <v>27</v>
      </c>
      <c r="E422">
        <v>12280.516670000001</v>
      </c>
      <c r="F422" t="e">
        <f>VLOOKUP(A422, BIOSIM_REF!$A:$E, 3, FALSE)</f>
        <v>#N/A</v>
      </c>
      <c r="G422" t="e">
        <f>VLOOKUP(A422, BIOSIM_REF!$A:$E, 4, FALSE)</f>
        <v>#N/A</v>
      </c>
      <c r="H422" t="e">
        <f>VLOOKUP(A422, BIOSIM_REF!$A:$E, 5, FALSE)</f>
        <v>#N/A</v>
      </c>
    </row>
    <row r="423" spans="1:8" hidden="1" x14ac:dyDescent="0.25">
      <c r="A423" s="1" t="s">
        <v>832</v>
      </c>
      <c r="B423" t="s">
        <v>842</v>
      </c>
      <c r="C423">
        <v>318211.46999999997</v>
      </c>
      <c r="D423">
        <v>225</v>
      </c>
      <c r="E423">
        <v>1414.2732000000001</v>
      </c>
      <c r="F423" t="e">
        <f>VLOOKUP(A423, BIOSIM_REF!$A:$E, 3, FALSE)</f>
        <v>#N/A</v>
      </c>
      <c r="G423" t="e">
        <f>VLOOKUP(A423, BIOSIM_REF!$A:$E, 4, FALSE)</f>
        <v>#N/A</v>
      </c>
      <c r="H423" t="e">
        <f>VLOOKUP(A423, BIOSIM_REF!$A:$E, 5, FALSE)</f>
        <v>#N/A</v>
      </c>
    </row>
    <row r="424" spans="1:8" hidden="1" x14ac:dyDescent="0.25">
      <c r="A424" s="1">
        <v>90677</v>
      </c>
      <c r="B424" t="s">
        <v>1614</v>
      </c>
      <c r="C424">
        <v>314629.93</v>
      </c>
      <c r="D424">
        <v>1209</v>
      </c>
      <c r="E424">
        <v>260.23980979999999</v>
      </c>
      <c r="F424" t="e">
        <f>VLOOKUP(A424, BIOSIM_REF!$A:$E, 3, FALSE)</f>
        <v>#N/A</v>
      </c>
      <c r="G424" t="e">
        <f>VLOOKUP(A424, BIOSIM_REF!$A:$E, 4, FALSE)</f>
        <v>#N/A</v>
      </c>
      <c r="H424" t="e">
        <f>VLOOKUP(A424, BIOSIM_REF!$A:$E, 5, FALSE)</f>
        <v>#N/A</v>
      </c>
    </row>
    <row r="425" spans="1:8" hidden="1" x14ac:dyDescent="0.25">
      <c r="A425" s="1" t="s">
        <v>849</v>
      </c>
      <c r="B425" t="s">
        <v>852</v>
      </c>
      <c r="C425">
        <v>299782.59000000003</v>
      </c>
      <c r="D425">
        <v>12817</v>
      </c>
      <c r="E425">
        <v>23.38945073</v>
      </c>
      <c r="F425" t="e">
        <f>VLOOKUP(A425, BIOSIM_REF!$A:$E, 3, FALSE)</f>
        <v>#N/A</v>
      </c>
      <c r="G425" t="e">
        <f>VLOOKUP(A425, BIOSIM_REF!$A:$E, 4, FALSE)</f>
        <v>#N/A</v>
      </c>
      <c r="H425" t="e">
        <f>VLOOKUP(A425, BIOSIM_REF!$A:$E, 5, FALSE)</f>
        <v>#N/A</v>
      </c>
    </row>
    <row r="426" spans="1:8" hidden="1" x14ac:dyDescent="0.25">
      <c r="A426" s="1" t="s">
        <v>850</v>
      </c>
      <c r="B426" t="s">
        <v>853</v>
      </c>
      <c r="C426">
        <v>290934.65000000002</v>
      </c>
      <c r="D426">
        <v>61708</v>
      </c>
      <c r="E426">
        <v>4.7146990669999997</v>
      </c>
      <c r="F426" t="e">
        <f>VLOOKUP(A426, BIOSIM_REF!$A:$E, 3, FALSE)</f>
        <v>#N/A</v>
      </c>
      <c r="G426" t="e">
        <f>VLOOKUP(A426, BIOSIM_REF!$A:$E, 4, FALSE)</f>
        <v>#N/A</v>
      </c>
      <c r="H426" t="e">
        <f>VLOOKUP(A426, BIOSIM_REF!$A:$E, 5, FALSE)</f>
        <v>#N/A</v>
      </c>
    </row>
    <row r="427" spans="1:8" hidden="1" x14ac:dyDescent="0.25">
      <c r="A427" s="1" t="s">
        <v>851</v>
      </c>
      <c r="B427" t="s">
        <v>854</v>
      </c>
      <c r="C427">
        <v>285841.34000000003</v>
      </c>
      <c r="D427">
        <v>322</v>
      </c>
      <c r="E427">
        <v>887.70602480000002</v>
      </c>
      <c r="F427" t="e">
        <f>VLOOKUP(A427, BIOSIM_REF!$A:$E, 3, FALSE)</f>
        <v>#N/A</v>
      </c>
      <c r="G427" t="e">
        <f>VLOOKUP(A427, BIOSIM_REF!$A:$E, 4, FALSE)</f>
        <v>#N/A</v>
      </c>
      <c r="H427" t="e">
        <f>VLOOKUP(A427, BIOSIM_REF!$A:$E, 5, FALSE)</f>
        <v>#N/A</v>
      </c>
    </row>
    <row r="428" spans="1:8" hidden="1" x14ac:dyDescent="0.25">
      <c r="A428" s="1" t="s">
        <v>1482</v>
      </c>
      <c r="B428" t="s">
        <v>1615</v>
      </c>
      <c r="C428">
        <v>284350.59999999998</v>
      </c>
      <c r="F428" t="e">
        <f>VLOOKUP(A428, BIOSIM_REF!$A:$E, 3, FALSE)</f>
        <v>#N/A</v>
      </c>
      <c r="G428" t="e">
        <f>VLOOKUP(A428, BIOSIM_REF!$A:$E, 4, FALSE)</f>
        <v>#N/A</v>
      </c>
      <c r="H428" t="e">
        <f>VLOOKUP(A428, BIOSIM_REF!$A:$E, 5, FALSE)</f>
        <v>#N/A</v>
      </c>
    </row>
    <row r="429" spans="1:8" hidden="1" x14ac:dyDescent="0.25">
      <c r="A429" s="1" t="s">
        <v>857</v>
      </c>
      <c r="B429" t="s">
        <v>863</v>
      </c>
      <c r="C429">
        <v>284287.06</v>
      </c>
      <c r="F429" t="e">
        <f>VLOOKUP(A429, BIOSIM_REF!$A:$E, 3, FALSE)</f>
        <v>#N/A</v>
      </c>
      <c r="G429" t="e">
        <f>VLOOKUP(A429, BIOSIM_REF!$A:$E, 4, FALSE)</f>
        <v>#N/A</v>
      </c>
      <c r="H429" t="e">
        <f>VLOOKUP(A429, BIOSIM_REF!$A:$E, 5, FALSE)</f>
        <v>#N/A</v>
      </c>
    </row>
    <row r="430" spans="1:8" hidden="1" x14ac:dyDescent="0.25">
      <c r="A430" s="1" t="s">
        <v>858</v>
      </c>
      <c r="B430" t="s">
        <v>864</v>
      </c>
      <c r="C430">
        <v>281686.23</v>
      </c>
      <c r="D430">
        <v>56931</v>
      </c>
      <c r="E430">
        <v>4.9478531910000001</v>
      </c>
      <c r="F430" t="e">
        <f>VLOOKUP(A430, BIOSIM_REF!$A:$E, 3, FALSE)</f>
        <v>#N/A</v>
      </c>
      <c r="G430" t="e">
        <f>VLOOKUP(A430, BIOSIM_REF!$A:$E, 4, FALSE)</f>
        <v>#N/A</v>
      </c>
      <c r="H430" t="e">
        <f>VLOOKUP(A430, BIOSIM_REF!$A:$E, 5, FALSE)</f>
        <v>#N/A</v>
      </c>
    </row>
    <row r="431" spans="1:8" hidden="1" x14ac:dyDescent="0.25">
      <c r="A431" s="1" t="s">
        <v>859</v>
      </c>
      <c r="B431" t="s">
        <v>865</v>
      </c>
      <c r="C431">
        <v>267449.07</v>
      </c>
      <c r="D431">
        <v>1232</v>
      </c>
      <c r="E431">
        <v>217.0852841</v>
      </c>
      <c r="F431" t="e">
        <f>VLOOKUP(A431, BIOSIM_REF!$A:$E, 3, FALSE)</f>
        <v>#N/A</v>
      </c>
      <c r="G431" t="e">
        <f>VLOOKUP(A431, BIOSIM_REF!$A:$E, 4, FALSE)</f>
        <v>#N/A</v>
      </c>
      <c r="H431" t="e">
        <f>VLOOKUP(A431, BIOSIM_REF!$A:$E, 5, FALSE)</f>
        <v>#N/A</v>
      </c>
    </row>
    <row r="432" spans="1:8" hidden="1" x14ac:dyDescent="0.25">
      <c r="A432" s="1" t="s">
        <v>860</v>
      </c>
      <c r="B432" t="s">
        <v>866</v>
      </c>
      <c r="C432">
        <v>259491.61</v>
      </c>
      <c r="D432">
        <v>2100</v>
      </c>
      <c r="E432">
        <v>123.5674333</v>
      </c>
      <c r="F432" t="e">
        <f>VLOOKUP(A432, BIOSIM_REF!$A:$E, 3, FALSE)</f>
        <v>#N/A</v>
      </c>
      <c r="G432" t="e">
        <f>VLOOKUP(A432, BIOSIM_REF!$A:$E, 4, FALSE)</f>
        <v>#N/A</v>
      </c>
      <c r="H432" t="e">
        <f>VLOOKUP(A432, BIOSIM_REF!$A:$E, 5, FALSE)</f>
        <v>#N/A</v>
      </c>
    </row>
    <row r="433" spans="1:8" hidden="1" x14ac:dyDescent="0.25">
      <c r="A433" s="1" t="s">
        <v>861</v>
      </c>
      <c r="B433" t="s">
        <v>867</v>
      </c>
      <c r="C433">
        <v>257234.08</v>
      </c>
      <c r="D433">
        <v>756</v>
      </c>
      <c r="E433">
        <v>340.2567196</v>
      </c>
      <c r="F433" t="e">
        <f>VLOOKUP(A433, BIOSIM_REF!$A:$E, 3, FALSE)</f>
        <v>#N/A</v>
      </c>
      <c r="G433" t="e">
        <f>VLOOKUP(A433, BIOSIM_REF!$A:$E, 4, FALSE)</f>
        <v>#N/A</v>
      </c>
      <c r="H433" t="e">
        <f>VLOOKUP(A433, BIOSIM_REF!$A:$E, 5, FALSE)</f>
        <v>#N/A</v>
      </c>
    </row>
    <row r="434" spans="1:8" hidden="1" x14ac:dyDescent="0.25">
      <c r="A434" s="1" t="s">
        <v>862</v>
      </c>
      <c r="B434" t="s">
        <v>868</v>
      </c>
      <c r="C434">
        <v>251647.62</v>
      </c>
      <c r="D434">
        <v>317</v>
      </c>
      <c r="E434">
        <v>793.84107259999996</v>
      </c>
      <c r="F434" t="e">
        <f>VLOOKUP(A434, BIOSIM_REF!$A:$E, 3, FALSE)</f>
        <v>#N/A</v>
      </c>
      <c r="G434" t="e">
        <f>VLOOKUP(A434, BIOSIM_REF!$A:$E, 4, FALSE)</f>
        <v>#N/A</v>
      </c>
      <c r="H434" t="e">
        <f>VLOOKUP(A434, BIOSIM_REF!$A:$E, 5, FALSE)</f>
        <v>#N/A</v>
      </c>
    </row>
    <row r="435" spans="1:8" hidden="1" x14ac:dyDescent="0.25">
      <c r="A435" s="1" t="s">
        <v>1483</v>
      </c>
      <c r="B435" t="s">
        <v>1616</v>
      </c>
      <c r="C435">
        <v>245945.02</v>
      </c>
      <c r="D435">
        <v>41</v>
      </c>
      <c r="E435">
        <v>5998.6590239999996</v>
      </c>
      <c r="F435" t="e">
        <f>VLOOKUP(A435, BIOSIM_REF!$A:$E, 3, FALSE)</f>
        <v>#N/A</v>
      </c>
      <c r="G435" t="e">
        <f>VLOOKUP(A435, BIOSIM_REF!$A:$E, 4, FALSE)</f>
        <v>#N/A</v>
      </c>
      <c r="H435" t="e">
        <f>VLOOKUP(A435, BIOSIM_REF!$A:$E, 5, FALSE)</f>
        <v>#N/A</v>
      </c>
    </row>
    <row r="436" spans="1:8" hidden="1" x14ac:dyDescent="0.25">
      <c r="A436" s="1" t="s">
        <v>873</v>
      </c>
      <c r="B436" t="s">
        <v>877</v>
      </c>
      <c r="C436">
        <v>243089.15</v>
      </c>
      <c r="D436">
        <v>3327</v>
      </c>
      <c r="E436">
        <v>73.065569580000002</v>
      </c>
      <c r="F436" t="e">
        <f>VLOOKUP(A436, BIOSIM_REF!$A:$E, 3, FALSE)</f>
        <v>#N/A</v>
      </c>
      <c r="G436" t="e">
        <f>VLOOKUP(A436, BIOSIM_REF!$A:$E, 4, FALSE)</f>
        <v>#N/A</v>
      </c>
      <c r="H436" t="e">
        <f>VLOOKUP(A436, BIOSIM_REF!$A:$E, 5, FALSE)</f>
        <v>#N/A</v>
      </c>
    </row>
    <row r="437" spans="1:8" hidden="1" x14ac:dyDescent="0.25">
      <c r="A437" s="1" t="s">
        <v>874</v>
      </c>
      <c r="B437" t="s">
        <v>878</v>
      </c>
      <c r="C437">
        <v>241529.68</v>
      </c>
      <c r="D437">
        <v>30</v>
      </c>
      <c r="E437">
        <v>8050.9893330000004</v>
      </c>
      <c r="F437" t="e">
        <f>VLOOKUP(A437, BIOSIM_REF!$A:$E, 3, FALSE)</f>
        <v>#N/A</v>
      </c>
      <c r="G437" t="e">
        <f>VLOOKUP(A437, BIOSIM_REF!$A:$E, 4, FALSE)</f>
        <v>#N/A</v>
      </c>
      <c r="H437" t="e">
        <f>VLOOKUP(A437, BIOSIM_REF!$A:$E, 5, FALSE)</f>
        <v>#N/A</v>
      </c>
    </row>
    <row r="438" spans="1:8" hidden="1" x14ac:dyDescent="0.25">
      <c r="A438" s="1" t="s">
        <v>875</v>
      </c>
      <c r="B438" t="s">
        <v>879</v>
      </c>
      <c r="C438">
        <v>239571.3</v>
      </c>
      <c r="D438">
        <v>928</v>
      </c>
      <c r="E438">
        <v>258.1587285</v>
      </c>
      <c r="F438" t="e">
        <f>VLOOKUP(A438, BIOSIM_REF!$A:$E, 3, FALSE)</f>
        <v>#N/A</v>
      </c>
      <c r="G438" t="e">
        <f>VLOOKUP(A438, BIOSIM_REF!$A:$E, 4, FALSE)</f>
        <v>#N/A</v>
      </c>
      <c r="H438" t="e">
        <f>VLOOKUP(A438, BIOSIM_REF!$A:$E, 5, FALSE)</f>
        <v>#N/A</v>
      </c>
    </row>
    <row r="439" spans="1:8" hidden="1" x14ac:dyDescent="0.25">
      <c r="A439" s="1" t="s">
        <v>876</v>
      </c>
      <c r="B439" t="s">
        <v>880</v>
      </c>
      <c r="C439">
        <v>237097.31</v>
      </c>
      <c r="D439">
        <v>1634</v>
      </c>
      <c r="E439">
        <v>145.10239290000001</v>
      </c>
      <c r="F439" t="e">
        <f>VLOOKUP(A439, BIOSIM_REF!$A:$E, 3, FALSE)</f>
        <v>#N/A</v>
      </c>
      <c r="G439" t="e">
        <f>VLOOKUP(A439, BIOSIM_REF!$A:$E, 4, FALSE)</f>
        <v>#N/A</v>
      </c>
      <c r="H439" t="e">
        <f>VLOOKUP(A439, BIOSIM_REF!$A:$E, 5, FALSE)</f>
        <v>#N/A</v>
      </c>
    </row>
    <row r="440" spans="1:8" hidden="1" x14ac:dyDescent="0.25">
      <c r="A440" s="1" t="s">
        <v>1484</v>
      </c>
      <c r="B440" t="s">
        <v>1617</v>
      </c>
      <c r="C440">
        <v>236780.93</v>
      </c>
      <c r="D440">
        <v>87</v>
      </c>
      <c r="E440">
        <v>2721.6198850000001</v>
      </c>
      <c r="F440" t="e">
        <f>VLOOKUP(A440, BIOSIM_REF!$A:$E, 3, FALSE)</f>
        <v>#N/A</v>
      </c>
      <c r="G440" t="e">
        <f>VLOOKUP(A440, BIOSIM_REF!$A:$E, 4, FALSE)</f>
        <v>#N/A</v>
      </c>
      <c r="H440" t="e">
        <f>VLOOKUP(A440, BIOSIM_REF!$A:$E, 5, FALSE)</f>
        <v>#N/A</v>
      </c>
    </row>
    <row r="441" spans="1:8" hidden="1" x14ac:dyDescent="0.25">
      <c r="A441" s="1" t="s">
        <v>884</v>
      </c>
      <c r="B441" t="s">
        <v>889</v>
      </c>
      <c r="C441">
        <v>231726.9</v>
      </c>
      <c r="D441">
        <v>8905</v>
      </c>
      <c r="E441">
        <v>26.022111169999999</v>
      </c>
      <c r="F441" t="e">
        <f>VLOOKUP(A441, BIOSIM_REF!$A:$E, 3, FALSE)</f>
        <v>#N/A</v>
      </c>
      <c r="G441" t="e">
        <f>VLOOKUP(A441, BIOSIM_REF!$A:$E, 4, FALSE)</f>
        <v>#N/A</v>
      </c>
      <c r="H441" t="e">
        <f>VLOOKUP(A441, BIOSIM_REF!$A:$E, 5, FALSE)</f>
        <v>#N/A</v>
      </c>
    </row>
    <row r="442" spans="1:8" hidden="1" x14ac:dyDescent="0.25">
      <c r="A442" s="1" t="s">
        <v>885</v>
      </c>
      <c r="B442" t="s">
        <v>890</v>
      </c>
      <c r="C442">
        <v>229988.98</v>
      </c>
      <c r="D442">
        <v>57755</v>
      </c>
      <c r="E442">
        <v>3.9821483849999999</v>
      </c>
      <c r="F442" t="e">
        <f>VLOOKUP(A442, BIOSIM_REF!$A:$E, 3, FALSE)</f>
        <v>#N/A</v>
      </c>
      <c r="G442" t="e">
        <f>VLOOKUP(A442, BIOSIM_REF!$A:$E, 4, FALSE)</f>
        <v>#N/A</v>
      </c>
      <c r="H442" t="e">
        <f>VLOOKUP(A442, BIOSIM_REF!$A:$E, 5, FALSE)</f>
        <v>#N/A</v>
      </c>
    </row>
    <row r="443" spans="1:8" hidden="1" x14ac:dyDescent="0.25">
      <c r="A443" s="1" t="s">
        <v>886</v>
      </c>
      <c r="B443" t="s">
        <v>891</v>
      </c>
      <c r="C443">
        <v>228680.09</v>
      </c>
      <c r="D443">
        <v>6931</v>
      </c>
      <c r="E443">
        <v>32.993808970000003</v>
      </c>
      <c r="F443" t="e">
        <f>VLOOKUP(A443, BIOSIM_REF!$A:$E, 3, FALSE)</f>
        <v>#N/A</v>
      </c>
      <c r="G443" t="e">
        <f>VLOOKUP(A443, BIOSIM_REF!$A:$E, 4, FALSE)</f>
        <v>#N/A</v>
      </c>
      <c r="H443" t="e">
        <f>VLOOKUP(A443, BIOSIM_REF!$A:$E, 5, FALSE)</f>
        <v>#N/A</v>
      </c>
    </row>
    <row r="444" spans="1:8" hidden="1" x14ac:dyDescent="0.25">
      <c r="A444" s="1" t="s">
        <v>887</v>
      </c>
      <c r="B444" t="s">
        <v>892</v>
      </c>
      <c r="C444">
        <v>225467.16</v>
      </c>
      <c r="D444">
        <v>57031</v>
      </c>
      <c r="E444">
        <v>3.953414108</v>
      </c>
      <c r="F444" t="e">
        <f>VLOOKUP(A444, BIOSIM_REF!$A:$E, 3, FALSE)</f>
        <v>#N/A</v>
      </c>
      <c r="G444" t="e">
        <f>VLOOKUP(A444, BIOSIM_REF!$A:$E, 4, FALSE)</f>
        <v>#N/A</v>
      </c>
      <c r="H444" t="e">
        <f>VLOOKUP(A444, BIOSIM_REF!$A:$E, 5, FALSE)</f>
        <v>#N/A</v>
      </c>
    </row>
    <row r="445" spans="1:8" hidden="1" x14ac:dyDescent="0.25">
      <c r="A445" s="1" t="s">
        <v>888</v>
      </c>
      <c r="B445" t="s">
        <v>893</v>
      </c>
      <c r="C445">
        <v>221412.31</v>
      </c>
      <c r="D445">
        <v>36</v>
      </c>
      <c r="E445">
        <v>6150.3419439999998</v>
      </c>
      <c r="F445" t="e">
        <f>VLOOKUP(A445, BIOSIM_REF!$A:$E, 3, FALSE)</f>
        <v>#N/A</v>
      </c>
      <c r="G445" t="e">
        <f>VLOOKUP(A445, BIOSIM_REF!$A:$E, 4, FALSE)</f>
        <v>#N/A</v>
      </c>
      <c r="H445" t="e">
        <f>VLOOKUP(A445, BIOSIM_REF!$A:$E, 5, FALSE)</f>
        <v>#N/A</v>
      </c>
    </row>
    <row r="446" spans="1:8" hidden="1" x14ac:dyDescent="0.25">
      <c r="A446" s="1" t="s">
        <v>1485</v>
      </c>
      <c r="B446" t="s">
        <v>1618</v>
      </c>
      <c r="C446">
        <v>220987.21</v>
      </c>
      <c r="F446" t="e">
        <f>VLOOKUP(A446, BIOSIM_REF!$A:$E, 3, FALSE)</f>
        <v>#N/A</v>
      </c>
      <c r="G446" t="e">
        <f>VLOOKUP(A446, BIOSIM_REF!$A:$E, 4, FALSE)</f>
        <v>#N/A</v>
      </c>
      <c r="H446" t="e">
        <f>VLOOKUP(A446, BIOSIM_REF!$A:$E, 5, FALSE)</f>
        <v>#N/A</v>
      </c>
    </row>
    <row r="447" spans="1:8" hidden="1" x14ac:dyDescent="0.25">
      <c r="A447" s="1" t="s">
        <v>896</v>
      </c>
      <c r="B447" t="s">
        <v>904</v>
      </c>
      <c r="C447">
        <v>211724.08</v>
      </c>
      <c r="D447">
        <v>1645</v>
      </c>
      <c r="E447">
        <v>128.70764740000001</v>
      </c>
      <c r="F447" t="e">
        <f>VLOOKUP(A447, BIOSIM_REF!$A:$E, 3, FALSE)</f>
        <v>#N/A</v>
      </c>
      <c r="G447" t="e">
        <f>VLOOKUP(A447, BIOSIM_REF!$A:$E, 4, FALSE)</f>
        <v>#N/A</v>
      </c>
      <c r="H447" t="e">
        <f>VLOOKUP(A447, BIOSIM_REF!$A:$E, 5, FALSE)</f>
        <v>#N/A</v>
      </c>
    </row>
    <row r="448" spans="1:8" hidden="1" x14ac:dyDescent="0.25">
      <c r="A448" s="1" t="s">
        <v>897</v>
      </c>
      <c r="B448" t="s">
        <v>905</v>
      </c>
      <c r="C448">
        <v>203687.82</v>
      </c>
      <c r="D448">
        <v>47</v>
      </c>
      <c r="E448">
        <v>4333.7834039999998</v>
      </c>
      <c r="F448" t="e">
        <f>VLOOKUP(A448, BIOSIM_REF!$A:$E, 3, FALSE)</f>
        <v>#N/A</v>
      </c>
      <c r="G448" t="e">
        <f>VLOOKUP(A448, BIOSIM_REF!$A:$E, 4, FALSE)</f>
        <v>#N/A</v>
      </c>
      <c r="H448" t="e">
        <f>VLOOKUP(A448, BIOSIM_REF!$A:$E, 5, FALSE)</f>
        <v>#N/A</v>
      </c>
    </row>
    <row r="449" spans="1:8" hidden="1" x14ac:dyDescent="0.25">
      <c r="A449" s="1" t="s">
        <v>898</v>
      </c>
      <c r="B449" t="s">
        <v>906</v>
      </c>
      <c r="C449">
        <v>197767.67</v>
      </c>
      <c r="D449">
        <v>9625</v>
      </c>
      <c r="E449">
        <v>20.547290390000001</v>
      </c>
      <c r="F449" t="e">
        <f>VLOOKUP(A449, BIOSIM_REF!$A:$E, 3, FALSE)</f>
        <v>#N/A</v>
      </c>
      <c r="G449" t="e">
        <f>VLOOKUP(A449, BIOSIM_REF!$A:$E, 4, FALSE)</f>
        <v>#N/A</v>
      </c>
      <c r="H449" t="e">
        <f>VLOOKUP(A449, BIOSIM_REF!$A:$E, 5, FALSE)</f>
        <v>#N/A</v>
      </c>
    </row>
    <row r="450" spans="1:8" hidden="1" x14ac:dyDescent="0.25">
      <c r="A450" s="1" t="s">
        <v>899</v>
      </c>
      <c r="B450" t="s">
        <v>907</v>
      </c>
      <c r="C450">
        <v>194747.95</v>
      </c>
      <c r="D450">
        <v>648</v>
      </c>
      <c r="E450">
        <v>300.5369599</v>
      </c>
      <c r="F450" t="e">
        <f>VLOOKUP(A450, BIOSIM_REF!$A:$E, 3, FALSE)</f>
        <v>#N/A</v>
      </c>
      <c r="G450" t="e">
        <f>VLOOKUP(A450, BIOSIM_REF!$A:$E, 4, FALSE)</f>
        <v>#N/A</v>
      </c>
      <c r="H450" t="e">
        <f>VLOOKUP(A450, BIOSIM_REF!$A:$E, 5, FALSE)</f>
        <v>#N/A</v>
      </c>
    </row>
    <row r="451" spans="1:8" hidden="1" x14ac:dyDescent="0.25">
      <c r="A451" s="1" t="s">
        <v>900</v>
      </c>
      <c r="B451" t="s">
        <v>908</v>
      </c>
      <c r="C451">
        <v>184573.97</v>
      </c>
      <c r="D451">
        <v>987</v>
      </c>
      <c r="E451">
        <v>187.00503549999999</v>
      </c>
      <c r="F451" t="e">
        <f>VLOOKUP(A451, BIOSIM_REF!$A:$E, 3, FALSE)</f>
        <v>#N/A</v>
      </c>
      <c r="G451" t="e">
        <f>VLOOKUP(A451, BIOSIM_REF!$A:$E, 4, FALSE)</f>
        <v>#N/A</v>
      </c>
      <c r="H451" t="e">
        <f>VLOOKUP(A451, BIOSIM_REF!$A:$E, 5, FALSE)</f>
        <v>#N/A</v>
      </c>
    </row>
    <row r="452" spans="1:8" hidden="1" x14ac:dyDescent="0.25">
      <c r="A452" s="1">
        <v>90685</v>
      </c>
      <c r="B452" t="s">
        <v>909</v>
      </c>
      <c r="C452">
        <v>178338.58</v>
      </c>
      <c r="D452">
        <v>6260</v>
      </c>
      <c r="E452">
        <v>28.48859105</v>
      </c>
      <c r="F452" t="e">
        <f>VLOOKUP(A452, BIOSIM_REF!$A:$E, 3, FALSE)</f>
        <v>#N/A</v>
      </c>
      <c r="G452" t="e">
        <f>VLOOKUP(A452, BIOSIM_REF!$A:$E, 4, FALSE)</f>
        <v>#N/A</v>
      </c>
      <c r="H452" t="e">
        <f>VLOOKUP(A452, BIOSIM_REF!$A:$E, 5, FALSE)</f>
        <v>#N/A</v>
      </c>
    </row>
    <row r="453" spans="1:8" hidden="1" x14ac:dyDescent="0.25">
      <c r="A453" s="1" t="s">
        <v>901</v>
      </c>
      <c r="B453" t="s">
        <v>910</v>
      </c>
      <c r="C453">
        <v>158292.28</v>
      </c>
      <c r="D453">
        <v>16275</v>
      </c>
      <c r="E453">
        <v>9.7261001539999992</v>
      </c>
      <c r="F453" t="e">
        <f>VLOOKUP(A453, BIOSIM_REF!$A:$E, 3, FALSE)</f>
        <v>#N/A</v>
      </c>
      <c r="G453" t="e">
        <f>VLOOKUP(A453, BIOSIM_REF!$A:$E, 4, FALSE)</f>
        <v>#N/A</v>
      </c>
      <c r="H453" t="e">
        <f>VLOOKUP(A453, BIOSIM_REF!$A:$E, 5, FALSE)</f>
        <v>#N/A</v>
      </c>
    </row>
    <row r="454" spans="1:8" hidden="1" x14ac:dyDescent="0.25">
      <c r="A454" s="1" t="s">
        <v>902</v>
      </c>
      <c r="B454" t="s">
        <v>911</v>
      </c>
      <c r="C454">
        <v>151364.03</v>
      </c>
      <c r="D454">
        <v>698</v>
      </c>
      <c r="E454">
        <v>216.8539112</v>
      </c>
      <c r="F454" t="e">
        <f>VLOOKUP(A454, BIOSIM_REF!$A:$E, 3, FALSE)</f>
        <v>#N/A</v>
      </c>
      <c r="G454" t="e">
        <f>VLOOKUP(A454, BIOSIM_REF!$A:$E, 4, FALSE)</f>
        <v>#N/A</v>
      </c>
      <c r="H454" t="e">
        <f>VLOOKUP(A454, BIOSIM_REF!$A:$E, 5, FALSE)</f>
        <v>#N/A</v>
      </c>
    </row>
    <row r="455" spans="1:8" hidden="1" x14ac:dyDescent="0.25">
      <c r="A455" s="1" t="s">
        <v>903</v>
      </c>
      <c r="B455" t="s">
        <v>912</v>
      </c>
      <c r="C455">
        <v>150086.75</v>
      </c>
      <c r="D455">
        <v>330</v>
      </c>
      <c r="E455">
        <v>454.80833330000002</v>
      </c>
      <c r="F455" t="e">
        <f>VLOOKUP(A455, BIOSIM_REF!$A:$E, 3, FALSE)</f>
        <v>#N/A</v>
      </c>
      <c r="G455" t="e">
        <f>VLOOKUP(A455, BIOSIM_REF!$A:$E, 4, FALSE)</f>
        <v>#N/A</v>
      </c>
      <c r="H455" t="e">
        <f>VLOOKUP(A455, BIOSIM_REF!$A:$E, 5, FALSE)</f>
        <v>#N/A</v>
      </c>
    </row>
    <row r="456" spans="1:8" hidden="1" x14ac:dyDescent="0.25">
      <c r="A456" s="1" t="s">
        <v>1486</v>
      </c>
      <c r="B456" t="s">
        <v>1619</v>
      </c>
      <c r="C456">
        <v>146629.82</v>
      </c>
      <c r="D456">
        <v>12</v>
      </c>
      <c r="E456">
        <v>12219.151669999999</v>
      </c>
      <c r="F456" t="e">
        <f>VLOOKUP(A456, BIOSIM_REF!$A:$E, 3, FALSE)</f>
        <v>#N/A</v>
      </c>
      <c r="G456" t="e">
        <f>VLOOKUP(A456, BIOSIM_REF!$A:$E, 4, FALSE)</f>
        <v>#N/A</v>
      </c>
      <c r="H456" t="e">
        <f>VLOOKUP(A456, BIOSIM_REF!$A:$E, 5, FALSE)</f>
        <v>#N/A</v>
      </c>
    </row>
    <row r="457" spans="1:8" hidden="1" x14ac:dyDescent="0.25">
      <c r="A457" s="1" t="s">
        <v>919</v>
      </c>
      <c r="B457" t="s">
        <v>923</v>
      </c>
      <c r="C457">
        <v>145046.35999999999</v>
      </c>
      <c r="D457">
        <v>3500</v>
      </c>
      <c r="E457">
        <v>41.441817139999998</v>
      </c>
      <c r="F457" t="e">
        <f>VLOOKUP(A457, BIOSIM_REF!$A:$E, 3, FALSE)</f>
        <v>#N/A</v>
      </c>
      <c r="G457" t="e">
        <f>VLOOKUP(A457, BIOSIM_REF!$A:$E, 4, FALSE)</f>
        <v>#N/A</v>
      </c>
      <c r="H457" t="e">
        <f>VLOOKUP(A457, BIOSIM_REF!$A:$E, 5, FALSE)</f>
        <v>#N/A</v>
      </c>
    </row>
    <row r="458" spans="1:8" hidden="1" x14ac:dyDescent="0.25">
      <c r="A458" s="1" t="s">
        <v>920</v>
      </c>
      <c r="B458" t="s">
        <v>924</v>
      </c>
      <c r="C458">
        <v>144819.01</v>
      </c>
      <c r="D458">
        <v>42117</v>
      </c>
      <c r="E458">
        <v>3.438493008</v>
      </c>
      <c r="F458" t="e">
        <f>VLOOKUP(A458, BIOSIM_REF!$A:$E, 3, FALSE)</f>
        <v>#N/A</v>
      </c>
      <c r="G458" t="e">
        <f>VLOOKUP(A458, BIOSIM_REF!$A:$E, 4, FALSE)</f>
        <v>#N/A</v>
      </c>
      <c r="H458" t="e">
        <f>VLOOKUP(A458, BIOSIM_REF!$A:$E, 5, FALSE)</f>
        <v>#N/A</v>
      </c>
    </row>
    <row r="459" spans="1:8" hidden="1" x14ac:dyDescent="0.25">
      <c r="A459" s="1" t="s">
        <v>921</v>
      </c>
      <c r="B459" t="s">
        <v>925</v>
      </c>
      <c r="C459">
        <v>141305.67000000001</v>
      </c>
      <c r="D459">
        <v>1000</v>
      </c>
      <c r="E459">
        <v>141.30566999999999</v>
      </c>
      <c r="F459" t="e">
        <f>VLOOKUP(A459, BIOSIM_REF!$A:$E, 3, FALSE)</f>
        <v>#N/A</v>
      </c>
      <c r="G459" t="e">
        <f>VLOOKUP(A459, BIOSIM_REF!$A:$E, 4, FALSE)</f>
        <v>#N/A</v>
      </c>
      <c r="H459" t="e">
        <f>VLOOKUP(A459, BIOSIM_REF!$A:$E, 5, FALSE)</f>
        <v>#N/A</v>
      </c>
    </row>
    <row r="460" spans="1:8" hidden="1" x14ac:dyDescent="0.25">
      <c r="A460" s="1" t="s">
        <v>922</v>
      </c>
      <c r="B460" t="s">
        <v>926</v>
      </c>
      <c r="C460">
        <v>140982.69</v>
      </c>
      <c r="D460">
        <v>4125</v>
      </c>
      <c r="E460">
        <v>34.177621819999999</v>
      </c>
      <c r="F460" t="e">
        <f>VLOOKUP(A460, BIOSIM_REF!$A:$E, 3, FALSE)</f>
        <v>#N/A</v>
      </c>
      <c r="G460" t="e">
        <f>VLOOKUP(A460, BIOSIM_REF!$A:$E, 4, FALSE)</f>
        <v>#N/A</v>
      </c>
      <c r="H460" t="e">
        <f>VLOOKUP(A460, BIOSIM_REF!$A:$E, 5, FALSE)</f>
        <v>#N/A</v>
      </c>
    </row>
    <row r="461" spans="1:8" hidden="1" x14ac:dyDescent="0.25">
      <c r="A461" s="1" t="s">
        <v>1487</v>
      </c>
      <c r="B461" t="s">
        <v>1620</v>
      </c>
      <c r="C461">
        <v>135504.07999999999</v>
      </c>
      <c r="D461">
        <v>101</v>
      </c>
      <c r="E461">
        <v>1341.6245550000001</v>
      </c>
      <c r="F461" t="e">
        <f>VLOOKUP(A461, BIOSIM_REF!$A:$E, 3, FALSE)</f>
        <v>#N/A</v>
      </c>
      <c r="G461" t="e">
        <f>VLOOKUP(A461, BIOSIM_REF!$A:$E, 4, FALSE)</f>
        <v>#N/A</v>
      </c>
      <c r="H461" t="e">
        <f>VLOOKUP(A461, BIOSIM_REF!$A:$E, 5, FALSE)</f>
        <v>#N/A</v>
      </c>
    </row>
    <row r="462" spans="1:8" hidden="1" x14ac:dyDescent="0.25">
      <c r="A462" s="1" t="s">
        <v>930</v>
      </c>
      <c r="B462" t="s">
        <v>934</v>
      </c>
      <c r="C462">
        <v>134912.29</v>
      </c>
      <c r="F462" t="e">
        <f>VLOOKUP(A462, BIOSIM_REF!$A:$E, 3, FALSE)</f>
        <v>#N/A</v>
      </c>
      <c r="G462" t="e">
        <f>VLOOKUP(A462, BIOSIM_REF!$A:$E, 4, FALSE)</f>
        <v>#N/A</v>
      </c>
      <c r="H462" t="e">
        <f>VLOOKUP(A462, BIOSIM_REF!$A:$E, 5, FALSE)</f>
        <v>#N/A</v>
      </c>
    </row>
    <row r="463" spans="1:8" hidden="1" x14ac:dyDescent="0.25">
      <c r="A463" s="1" t="s">
        <v>931</v>
      </c>
      <c r="B463" t="s">
        <v>935</v>
      </c>
      <c r="C463">
        <v>127946.35</v>
      </c>
      <c r="D463">
        <v>117</v>
      </c>
      <c r="E463">
        <v>1093.5585470000001</v>
      </c>
      <c r="F463" t="e">
        <f>VLOOKUP(A463, BIOSIM_REF!$A:$E, 3, FALSE)</f>
        <v>#N/A</v>
      </c>
      <c r="G463" t="e">
        <f>VLOOKUP(A463, BIOSIM_REF!$A:$E, 4, FALSE)</f>
        <v>#N/A</v>
      </c>
      <c r="H463" t="e">
        <f>VLOOKUP(A463, BIOSIM_REF!$A:$E, 5, FALSE)</f>
        <v>#N/A</v>
      </c>
    </row>
    <row r="464" spans="1:8" hidden="1" x14ac:dyDescent="0.25">
      <c r="A464" s="1" t="s">
        <v>932</v>
      </c>
      <c r="B464" t="s">
        <v>936</v>
      </c>
      <c r="C464">
        <v>124548.01</v>
      </c>
      <c r="D464">
        <v>26</v>
      </c>
      <c r="E464">
        <v>4790.3080769999997</v>
      </c>
      <c r="F464" t="e">
        <f>VLOOKUP(A464, BIOSIM_REF!$A:$E, 3, FALSE)</f>
        <v>#N/A</v>
      </c>
      <c r="G464" t="e">
        <f>VLOOKUP(A464, BIOSIM_REF!$A:$E, 4, FALSE)</f>
        <v>#N/A</v>
      </c>
      <c r="H464" t="e">
        <f>VLOOKUP(A464, BIOSIM_REF!$A:$E, 5, FALSE)</f>
        <v>#N/A</v>
      </c>
    </row>
    <row r="465" spans="1:8" hidden="1" x14ac:dyDescent="0.25">
      <c r="A465" s="1" t="s">
        <v>933</v>
      </c>
      <c r="B465" t="s">
        <v>937</v>
      </c>
      <c r="C465">
        <v>124011.57</v>
      </c>
      <c r="D465">
        <v>168</v>
      </c>
      <c r="E465">
        <v>738.16410710000002</v>
      </c>
      <c r="F465" t="e">
        <f>VLOOKUP(A465, BIOSIM_REF!$A:$E, 3, FALSE)</f>
        <v>#N/A</v>
      </c>
      <c r="G465" t="e">
        <f>VLOOKUP(A465, BIOSIM_REF!$A:$E, 4, FALSE)</f>
        <v>#N/A</v>
      </c>
      <c r="H465" t="e">
        <f>VLOOKUP(A465, BIOSIM_REF!$A:$E, 5, FALSE)</f>
        <v>#N/A</v>
      </c>
    </row>
    <row r="466" spans="1:8" hidden="1" x14ac:dyDescent="0.25">
      <c r="A466" s="1" t="s">
        <v>1488</v>
      </c>
      <c r="B466" t="s">
        <v>1621</v>
      </c>
      <c r="C466">
        <v>121748.92</v>
      </c>
      <c r="D466">
        <v>111</v>
      </c>
      <c r="E466">
        <v>1096.837117</v>
      </c>
      <c r="F466" t="e">
        <f>VLOOKUP(A466, BIOSIM_REF!$A:$E, 3, FALSE)</f>
        <v>#N/A</v>
      </c>
      <c r="G466" t="e">
        <f>VLOOKUP(A466, BIOSIM_REF!$A:$E, 4, FALSE)</f>
        <v>#N/A</v>
      </c>
      <c r="H466" t="e">
        <f>VLOOKUP(A466, BIOSIM_REF!$A:$E, 5, FALSE)</f>
        <v>#N/A</v>
      </c>
    </row>
    <row r="467" spans="1:8" hidden="1" x14ac:dyDescent="0.25">
      <c r="A467" s="1" t="s">
        <v>942</v>
      </c>
      <c r="B467" t="s">
        <v>953</v>
      </c>
      <c r="C467">
        <v>121491.34</v>
      </c>
      <c r="D467">
        <v>11</v>
      </c>
      <c r="E467">
        <v>11044.66727</v>
      </c>
      <c r="F467" t="e">
        <f>VLOOKUP(A467, BIOSIM_REF!$A:$E, 3, FALSE)</f>
        <v>#N/A</v>
      </c>
      <c r="G467" t="e">
        <f>VLOOKUP(A467, BIOSIM_REF!$A:$E, 4, FALSE)</f>
        <v>#N/A</v>
      </c>
      <c r="H467" t="e">
        <f>VLOOKUP(A467, BIOSIM_REF!$A:$E, 5, FALSE)</f>
        <v>#N/A</v>
      </c>
    </row>
    <row r="468" spans="1:8" hidden="1" x14ac:dyDescent="0.25">
      <c r="A468" s="1" t="s">
        <v>943</v>
      </c>
      <c r="B468" t="s">
        <v>954</v>
      </c>
      <c r="C468">
        <v>117441.65</v>
      </c>
      <c r="D468">
        <v>570</v>
      </c>
      <c r="E468">
        <v>206.0379825</v>
      </c>
      <c r="F468" t="e">
        <f>VLOOKUP(A468, BIOSIM_REF!$A:$E, 3, FALSE)</f>
        <v>#N/A</v>
      </c>
      <c r="G468" t="e">
        <f>VLOOKUP(A468, BIOSIM_REF!$A:$E, 4, FALSE)</f>
        <v>#N/A</v>
      </c>
      <c r="H468" t="e">
        <f>VLOOKUP(A468, BIOSIM_REF!$A:$E, 5, FALSE)</f>
        <v>#N/A</v>
      </c>
    </row>
    <row r="469" spans="1:8" hidden="1" x14ac:dyDescent="0.25">
      <c r="A469" s="1" t="s">
        <v>944</v>
      </c>
      <c r="B469" t="s">
        <v>955</v>
      </c>
      <c r="C469">
        <v>113942.79</v>
      </c>
      <c r="D469">
        <v>856</v>
      </c>
      <c r="E469">
        <v>133.110736</v>
      </c>
      <c r="F469" t="e">
        <f>VLOOKUP(A469, BIOSIM_REF!$A:$E, 3, FALSE)</f>
        <v>#N/A</v>
      </c>
      <c r="G469" t="e">
        <f>VLOOKUP(A469, BIOSIM_REF!$A:$E, 4, FALSE)</f>
        <v>#N/A</v>
      </c>
      <c r="H469" t="e">
        <f>VLOOKUP(A469, BIOSIM_REF!$A:$E, 5, FALSE)</f>
        <v>#N/A</v>
      </c>
    </row>
    <row r="470" spans="1:8" hidden="1" x14ac:dyDescent="0.25">
      <c r="A470" s="1" t="s">
        <v>945</v>
      </c>
      <c r="B470" t="s">
        <v>956</v>
      </c>
      <c r="C470">
        <v>107242.26</v>
      </c>
      <c r="D470">
        <v>3815</v>
      </c>
      <c r="E470">
        <v>28.11068414</v>
      </c>
      <c r="F470" t="e">
        <f>VLOOKUP(A470, BIOSIM_REF!$A:$E, 3, FALSE)</f>
        <v>#N/A</v>
      </c>
      <c r="G470" t="e">
        <f>VLOOKUP(A470, BIOSIM_REF!$A:$E, 4, FALSE)</f>
        <v>#N/A</v>
      </c>
      <c r="H470" t="e">
        <f>VLOOKUP(A470, BIOSIM_REF!$A:$E, 5, FALSE)</f>
        <v>#N/A</v>
      </c>
    </row>
    <row r="471" spans="1:8" hidden="1" x14ac:dyDescent="0.25">
      <c r="A471" s="1" t="s">
        <v>946</v>
      </c>
      <c r="B471" t="s">
        <v>957</v>
      </c>
      <c r="C471">
        <v>105648.4</v>
      </c>
      <c r="D471">
        <v>3087</v>
      </c>
      <c r="E471">
        <v>34.223647550000003</v>
      </c>
      <c r="F471" t="e">
        <f>VLOOKUP(A471, BIOSIM_REF!$A:$E, 3, FALSE)</f>
        <v>#N/A</v>
      </c>
      <c r="G471" t="e">
        <f>VLOOKUP(A471, BIOSIM_REF!$A:$E, 4, FALSE)</f>
        <v>#N/A</v>
      </c>
      <c r="H471" t="e">
        <f>VLOOKUP(A471, BIOSIM_REF!$A:$E, 5, FALSE)</f>
        <v>#N/A</v>
      </c>
    </row>
    <row r="472" spans="1:8" hidden="1" x14ac:dyDescent="0.25">
      <c r="A472" s="1" t="s">
        <v>947</v>
      </c>
      <c r="B472" t="s">
        <v>958</v>
      </c>
      <c r="C472">
        <v>104375.55</v>
      </c>
      <c r="D472">
        <v>643</v>
      </c>
      <c r="E472">
        <v>162.32589429999999</v>
      </c>
      <c r="F472" t="e">
        <f>VLOOKUP(A472, BIOSIM_REF!$A:$E, 3, FALSE)</f>
        <v>#N/A</v>
      </c>
      <c r="G472" t="e">
        <f>VLOOKUP(A472, BIOSIM_REF!$A:$E, 4, FALSE)</f>
        <v>#N/A</v>
      </c>
      <c r="H472" t="e">
        <f>VLOOKUP(A472, BIOSIM_REF!$A:$E, 5, FALSE)</f>
        <v>#N/A</v>
      </c>
    </row>
    <row r="473" spans="1:8" hidden="1" x14ac:dyDescent="0.25">
      <c r="A473" s="1" t="s">
        <v>948</v>
      </c>
      <c r="B473" t="s">
        <v>959</v>
      </c>
      <c r="C473">
        <v>98994.34</v>
      </c>
      <c r="D473">
        <v>107</v>
      </c>
      <c r="E473">
        <v>925.18074769999998</v>
      </c>
      <c r="F473" t="e">
        <f>VLOOKUP(A473, BIOSIM_REF!$A:$E, 3, FALSE)</f>
        <v>#N/A</v>
      </c>
      <c r="G473" t="e">
        <f>VLOOKUP(A473, BIOSIM_REF!$A:$E, 4, FALSE)</f>
        <v>#N/A</v>
      </c>
      <c r="H473" t="e">
        <f>VLOOKUP(A473, BIOSIM_REF!$A:$E, 5, FALSE)</f>
        <v>#N/A</v>
      </c>
    </row>
    <row r="474" spans="1:8" hidden="1" x14ac:dyDescent="0.25">
      <c r="A474" s="1" t="s">
        <v>949</v>
      </c>
      <c r="B474" t="s">
        <v>960</v>
      </c>
      <c r="C474">
        <v>98661.65</v>
      </c>
      <c r="D474">
        <v>471</v>
      </c>
      <c r="E474">
        <v>209.47271760000001</v>
      </c>
      <c r="F474" t="e">
        <f>VLOOKUP(A474, BIOSIM_REF!$A:$E, 3, FALSE)</f>
        <v>#N/A</v>
      </c>
      <c r="G474" t="e">
        <f>VLOOKUP(A474, BIOSIM_REF!$A:$E, 4, FALSE)</f>
        <v>#N/A</v>
      </c>
      <c r="H474" t="e">
        <f>VLOOKUP(A474, BIOSIM_REF!$A:$E, 5, FALSE)</f>
        <v>#N/A</v>
      </c>
    </row>
    <row r="475" spans="1:8" hidden="1" x14ac:dyDescent="0.25">
      <c r="A475" s="1" t="s">
        <v>950</v>
      </c>
      <c r="B475" t="s">
        <v>961</v>
      </c>
      <c r="C475">
        <v>93991.61</v>
      </c>
      <c r="D475">
        <v>451</v>
      </c>
      <c r="E475">
        <v>208.4071175</v>
      </c>
      <c r="F475" t="e">
        <f>VLOOKUP(A475, BIOSIM_REF!$A:$E, 3, FALSE)</f>
        <v>#N/A</v>
      </c>
      <c r="G475" t="e">
        <f>VLOOKUP(A475, BIOSIM_REF!$A:$E, 4, FALSE)</f>
        <v>#N/A</v>
      </c>
      <c r="H475" t="e">
        <f>VLOOKUP(A475, BIOSIM_REF!$A:$E, 5, FALSE)</f>
        <v>#N/A</v>
      </c>
    </row>
    <row r="476" spans="1:8" hidden="1" x14ac:dyDescent="0.25">
      <c r="A476" s="1" t="s">
        <v>951</v>
      </c>
      <c r="B476" t="s">
        <v>962</v>
      </c>
      <c r="C476">
        <v>89226.6</v>
      </c>
      <c r="D476">
        <v>19744</v>
      </c>
      <c r="E476">
        <v>4.5191754460000002</v>
      </c>
      <c r="F476" t="e">
        <f>VLOOKUP(A476, BIOSIM_REF!$A:$E, 3, FALSE)</f>
        <v>#N/A</v>
      </c>
      <c r="G476" t="e">
        <f>VLOOKUP(A476, BIOSIM_REF!$A:$E, 4, FALSE)</f>
        <v>#N/A</v>
      </c>
      <c r="H476" t="e">
        <f>VLOOKUP(A476, BIOSIM_REF!$A:$E, 5, FALSE)</f>
        <v>#N/A</v>
      </c>
    </row>
    <row r="477" spans="1:8" hidden="1" x14ac:dyDescent="0.25">
      <c r="A477" s="1" t="s">
        <v>952</v>
      </c>
      <c r="B477" t="s">
        <v>963</v>
      </c>
      <c r="C477">
        <v>84464.41</v>
      </c>
      <c r="D477">
        <v>208</v>
      </c>
      <c r="E477">
        <v>406.07889419999998</v>
      </c>
      <c r="F477" t="e">
        <f>VLOOKUP(A477, BIOSIM_REF!$A:$E, 3, FALSE)</f>
        <v>#N/A</v>
      </c>
      <c r="G477" t="e">
        <f>VLOOKUP(A477, BIOSIM_REF!$A:$E, 4, FALSE)</f>
        <v>#N/A</v>
      </c>
      <c r="H477" t="e">
        <f>VLOOKUP(A477, BIOSIM_REF!$A:$E, 5, FALSE)</f>
        <v>#N/A</v>
      </c>
    </row>
    <row r="478" spans="1:8" hidden="1" x14ac:dyDescent="0.25">
      <c r="A478" s="1" t="s">
        <v>1489</v>
      </c>
      <c r="B478" t="s">
        <v>1622</v>
      </c>
      <c r="C478">
        <v>83663.28</v>
      </c>
      <c r="D478">
        <v>41</v>
      </c>
      <c r="E478">
        <v>2040.5678049999999</v>
      </c>
      <c r="F478" t="e">
        <f>VLOOKUP(A478, BIOSIM_REF!$A:$E, 3, FALSE)</f>
        <v>#N/A</v>
      </c>
      <c r="G478" t="e">
        <f>VLOOKUP(A478, BIOSIM_REF!$A:$E, 4, FALSE)</f>
        <v>#N/A</v>
      </c>
      <c r="H478" t="e">
        <f>VLOOKUP(A478, BIOSIM_REF!$A:$E, 5, FALSE)</f>
        <v>#N/A</v>
      </c>
    </row>
    <row r="479" spans="1:8" hidden="1" x14ac:dyDescent="0.25">
      <c r="A479" s="1" t="s">
        <v>971</v>
      </c>
      <c r="B479" t="s">
        <v>1006</v>
      </c>
      <c r="C479">
        <v>82737.33</v>
      </c>
      <c r="D479">
        <v>286</v>
      </c>
      <c r="E479">
        <v>289.29136360000001</v>
      </c>
      <c r="F479" t="e">
        <f>VLOOKUP(A479, BIOSIM_REF!$A:$E, 3, FALSE)</f>
        <v>#N/A</v>
      </c>
      <c r="G479" t="e">
        <f>VLOOKUP(A479, BIOSIM_REF!$A:$E, 4, FALSE)</f>
        <v>#N/A</v>
      </c>
      <c r="H479" t="e">
        <f>VLOOKUP(A479, BIOSIM_REF!$A:$E, 5, FALSE)</f>
        <v>#N/A</v>
      </c>
    </row>
    <row r="480" spans="1:8" hidden="1" x14ac:dyDescent="0.25">
      <c r="A480" s="1" t="s">
        <v>972</v>
      </c>
      <c r="B480" t="s">
        <v>1007</v>
      </c>
      <c r="C480">
        <v>82584.69</v>
      </c>
      <c r="D480">
        <v>1952</v>
      </c>
      <c r="E480">
        <v>42.307730530000001</v>
      </c>
      <c r="F480" t="e">
        <f>VLOOKUP(A480, BIOSIM_REF!$A:$E, 3, FALSE)</f>
        <v>#N/A</v>
      </c>
      <c r="G480" t="e">
        <f>VLOOKUP(A480, BIOSIM_REF!$A:$E, 4, FALSE)</f>
        <v>#N/A</v>
      </c>
      <c r="H480" t="e">
        <f>VLOOKUP(A480, BIOSIM_REF!$A:$E, 5, FALSE)</f>
        <v>#N/A</v>
      </c>
    </row>
    <row r="481" spans="1:8" hidden="1" x14ac:dyDescent="0.25">
      <c r="A481" s="1" t="s">
        <v>973</v>
      </c>
      <c r="B481" t="s">
        <v>1008</v>
      </c>
      <c r="C481">
        <v>78174.080000000002</v>
      </c>
      <c r="D481">
        <v>945</v>
      </c>
      <c r="E481">
        <v>82.723894180000002</v>
      </c>
      <c r="F481" t="e">
        <f>VLOOKUP(A481, BIOSIM_REF!$A:$E, 3, FALSE)</f>
        <v>#N/A</v>
      </c>
      <c r="G481" t="e">
        <f>VLOOKUP(A481, BIOSIM_REF!$A:$E, 4, FALSE)</f>
        <v>#N/A</v>
      </c>
      <c r="H481" t="e">
        <f>VLOOKUP(A481, BIOSIM_REF!$A:$E, 5, FALSE)</f>
        <v>#N/A</v>
      </c>
    </row>
    <row r="482" spans="1:8" hidden="1" x14ac:dyDescent="0.25">
      <c r="A482" s="1" t="s">
        <v>974</v>
      </c>
      <c r="B482" t="s">
        <v>1009</v>
      </c>
      <c r="C482">
        <v>76896.41</v>
      </c>
      <c r="D482">
        <v>2773</v>
      </c>
      <c r="E482">
        <v>27.730403899999999</v>
      </c>
      <c r="F482" t="e">
        <f>VLOOKUP(A482, BIOSIM_REF!$A:$E, 3, FALSE)</f>
        <v>#N/A</v>
      </c>
      <c r="G482" t="e">
        <f>VLOOKUP(A482, BIOSIM_REF!$A:$E, 4, FALSE)</f>
        <v>#N/A</v>
      </c>
      <c r="H482" t="e">
        <f>VLOOKUP(A482, BIOSIM_REF!$A:$E, 5, FALSE)</f>
        <v>#N/A</v>
      </c>
    </row>
    <row r="483" spans="1:8" hidden="1" x14ac:dyDescent="0.25">
      <c r="A483" s="1" t="s">
        <v>975</v>
      </c>
      <c r="B483" t="s">
        <v>1010</v>
      </c>
      <c r="C483">
        <v>74982.25</v>
      </c>
      <c r="D483">
        <v>12708</v>
      </c>
      <c r="E483">
        <v>5.900397388</v>
      </c>
      <c r="F483" t="e">
        <f>VLOOKUP(A483, BIOSIM_REF!$A:$E, 3, FALSE)</f>
        <v>#N/A</v>
      </c>
      <c r="G483" t="e">
        <f>VLOOKUP(A483, BIOSIM_REF!$A:$E, 4, FALSE)</f>
        <v>#N/A</v>
      </c>
      <c r="H483" t="e">
        <f>VLOOKUP(A483, BIOSIM_REF!$A:$E, 5, FALSE)</f>
        <v>#N/A</v>
      </c>
    </row>
    <row r="484" spans="1:8" hidden="1" x14ac:dyDescent="0.25">
      <c r="A484" s="1" t="s">
        <v>976</v>
      </c>
      <c r="B484" t="s">
        <v>1011</v>
      </c>
      <c r="C484">
        <v>72750.38</v>
      </c>
      <c r="D484">
        <v>22</v>
      </c>
      <c r="E484">
        <v>3306.8354549999999</v>
      </c>
      <c r="F484" t="e">
        <f>VLOOKUP(A484, BIOSIM_REF!$A:$E, 3, FALSE)</f>
        <v>#N/A</v>
      </c>
      <c r="G484" t="e">
        <f>VLOOKUP(A484, BIOSIM_REF!$A:$E, 4, FALSE)</f>
        <v>#N/A</v>
      </c>
      <c r="H484" t="e">
        <f>VLOOKUP(A484, BIOSIM_REF!$A:$E, 5, FALSE)</f>
        <v>#N/A</v>
      </c>
    </row>
    <row r="485" spans="1:8" hidden="1" x14ac:dyDescent="0.25">
      <c r="A485" s="1" t="s">
        <v>977</v>
      </c>
      <c r="B485" t="s">
        <v>1012</v>
      </c>
      <c r="C485">
        <v>72346.210000000006</v>
      </c>
      <c r="D485">
        <v>727</v>
      </c>
      <c r="E485">
        <v>99.513356259999995</v>
      </c>
      <c r="F485" t="e">
        <f>VLOOKUP(A485, BIOSIM_REF!$A:$E, 3, FALSE)</f>
        <v>#N/A</v>
      </c>
      <c r="G485" t="e">
        <f>VLOOKUP(A485, BIOSIM_REF!$A:$E, 4, FALSE)</f>
        <v>#N/A</v>
      </c>
      <c r="H485" t="e">
        <f>VLOOKUP(A485, BIOSIM_REF!$A:$E, 5, FALSE)</f>
        <v>#N/A</v>
      </c>
    </row>
    <row r="486" spans="1:8" hidden="1" x14ac:dyDescent="0.25">
      <c r="A486" s="1" t="s">
        <v>978</v>
      </c>
      <c r="B486" t="s">
        <v>1013</v>
      </c>
      <c r="C486">
        <v>70153.3</v>
      </c>
      <c r="D486">
        <v>5587</v>
      </c>
      <c r="E486">
        <v>12.55652407</v>
      </c>
      <c r="F486" t="e">
        <f>VLOOKUP(A486, BIOSIM_REF!$A:$E, 3, FALSE)</f>
        <v>#N/A</v>
      </c>
      <c r="G486" t="e">
        <f>VLOOKUP(A486, BIOSIM_REF!$A:$E, 4, FALSE)</f>
        <v>#N/A</v>
      </c>
      <c r="H486" t="e">
        <f>VLOOKUP(A486, BIOSIM_REF!$A:$E, 5, FALSE)</f>
        <v>#N/A</v>
      </c>
    </row>
    <row r="487" spans="1:8" hidden="1" x14ac:dyDescent="0.25">
      <c r="A487" s="1" t="s">
        <v>979</v>
      </c>
      <c r="B487" t="s">
        <v>1014</v>
      </c>
      <c r="C487">
        <v>69013.52</v>
      </c>
      <c r="D487">
        <v>15</v>
      </c>
      <c r="E487">
        <v>4600.9013329999998</v>
      </c>
      <c r="F487" t="e">
        <f>VLOOKUP(A487, BIOSIM_REF!$A:$E, 3, FALSE)</f>
        <v>#N/A</v>
      </c>
      <c r="G487" t="e">
        <f>VLOOKUP(A487, BIOSIM_REF!$A:$E, 4, FALSE)</f>
        <v>#N/A</v>
      </c>
      <c r="H487" t="e">
        <f>VLOOKUP(A487, BIOSIM_REF!$A:$E, 5, FALSE)</f>
        <v>#N/A</v>
      </c>
    </row>
    <row r="488" spans="1:8" hidden="1" x14ac:dyDescent="0.25">
      <c r="A488" s="1" t="s">
        <v>980</v>
      </c>
      <c r="B488" t="s">
        <v>1015</v>
      </c>
      <c r="C488">
        <v>67562.94</v>
      </c>
      <c r="D488">
        <v>1316</v>
      </c>
      <c r="E488">
        <v>51.339620060000001</v>
      </c>
      <c r="F488" t="e">
        <f>VLOOKUP(A488, BIOSIM_REF!$A:$E, 3, FALSE)</f>
        <v>#N/A</v>
      </c>
      <c r="G488" t="e">
        <f>VLOOKUP(A488, BIOSIM_REF!$A:$E, 4, FALSE)</f>
        <v>#N/A</v>
      </c>
      <c r="H488" t="e">
        <f>VLOOKUP(A488, BIOSIM_REF!$A:$E, 5, FALSE)</f>
        <v>#N/A</v>
      </c>
    </row>
    <row r="489" spans="1:8" hidden="1" x14ac:dyDescent="0.25">
      <c r="A489" s="1" t="s">
        <v>981</v>
      </c>
      <c r="B489" t="s">
        <v>1016</v>
      </c>
      <c r="C489">
        <v>67004.7</v>
      </c>
      <c r="D489">
        <v>6035</v>
      </c>
      <c r="E489">
        <v>11.10268434</v>
      </c>
      <c r="F489" t="e">
        <f>VLOOKUP(A489, BIOSIM_REF!$A:$E, 3, FALSE)</f>
        <v>#N/A</v>
      </c>
      <c r="G489" t="e">
        <f>VLOOKUP(A489, BIOSIM_REF!$A:$E, 4, FALSE)</f>
        <v>#N/A</v>
      </c>
      <c r="H489" t="e">
        <f>VLOOKUP(A489, BIOSIM_REF!$A:$E, 5, FALSE)</f>
        <v>#N/A</v>
      </c>
    </row>
    <row r="490" spans="1:8" hidden="1" x14ac:dyDescent="0.25">
      <c r="A490" s="1" t="s">
        <v>982</v>
      </c>
      <c r="B490" t="s">
        <v>1017</v>
      </c>
      <c r="C490">
        <v>66503.03</v>
      </c>
      <c r="D490">
        <v>4863</v>
      </c>
      <c r="E490">
        <v>13.675309479999999</v>
      </c>
      <c r="F490" t="e">
        <f>VLOOKUP(A490, BIOSIM_REF!$A:$E, 3, FALSE)</f>
        <v>#N/A</v>
      </c>
      <c r="G490" t="e">
        <f>VLOOKUP(A490, BIOSIM_REF!$A:$E, 4, FALSE)</f>
        <v>#N/A</v>
      </c>
      <c r="H490" t="e">
        <f>VLOOKUP(A490, BIOSIM_REF!$A:$E, 5, FALSE)</f>
        <v>#N/A</v>
      </c>
    </row>
    <row r="491" spans="1:8" hidden="1" x14ac:dyDescent="0.25">
      <c r="A491" s="1" t="s">
        <v>983</v>
      </c>
      <c r="B491" t="s">
        <v>1018</v>
      </c>
      <c r="C491">
        <v>65247.48</v>
      </c>
      <c r="D491">
        <v>93</v>
      </c>
      <c r="E491">
        <v>701.58580649999999</v>
      </c>
      <c r="F491" t="e">
        <f>VLOOKUP(A491, BIOSIM_REF!$A:$E, 3, FALSE)</f>
        <v>#N/A</v>
      </c>
      <c r="G491" t="e">
        <f>VLOOKUP(A491, BIOSIM_REF!$A:$E, 4, FALSE)</f>
        <v>#N/A</v>
      </c>
      <c r="H491" t="e">
        <f>VLOOKUP(A491, BIOSIM_REF!$A:$E, 5, FALSE)</f>
        <v>#N/A</v>
      </c>
    </row>
    <row r="492" spans="1:8" hidden="1" x14ac:dyDescent="0.25">
      <c r="A492" s="1">
        <v>90371</v>
      </c>
      <c r="B492" t="s">
        <v>1019</v>
      </c>
      <c r="C492">
        <v>63082.52</v>
      </c>
      <c r="D492">
        <v>70</v>
      </c>
      <c r="E492">
        <v>901.17885709999996</v>
      </c>
      <c r="F492" t="e">
        <f>VLOOKUP(A492, BIOSIM_REF!$A:$E, 3, FALSE)</f>
        <v>#N/A</v>
      </c>
      <c r="G492" t="e">
        <f>VLOOKUP(A492, BIOSIM_REF!$A:$E, 4, FALSE)</f>
        <v>#N/A</v>
      </c>
      <c r="H492" t="e">
        <f>VLOOKUP(A492, BIOSIM_REF!$A:$E, 5, FALSE)</f>
        <v>#N/A</v>
      </c>
    </row>
    <row r="493" spans="1:8" hidden="1" x14ac:dyDescent="0.25">
      <c r="A493" s="1" t="s">
        <v>984</v>
      </c>
      <c r="B493" t="s">
        <v>1020</v>
      </c>
      <c r="C493">
        <v>62602.7</v>
      </c>
      <c r="F493" t="e">
        <f>VLOOKUP(A493, BIOSIM_REF!$A:$E, 3, FALSE)</f>
        <v>#N/A</v>
      </c>
      <c r="G493" t="e">
        <f>VLOOKUP(A493, BIOSIM_REF!$A:$E, 4, FALSE)</f>
        <v>#N/A</v>
      </c>
      <c r="H493" t="e">
        <f>VLOOKUP(A493, BIOSIM_REF!$A:$E, 5, FALSE)</f>
        <v>#N/A</v>
      </c>
    </row>
    <row r="494" spans="1:8" hidden="1" x14ac:dyDescent="0.25">
      <c r="A494" s="1" t="s">
        <v>985</v>
      </c>
      <c r="B494" t="s">
        <v>1021</v>
      </c>
      <c r="C494">
        <v>61586.720000000001</v>
      </c>
      <c r="D494">
        <v>577</v>
      </c>
      <c r="E494">
        <v>106.7360832</v>
      </c>
      <c r="F494" t="e">
        <f>VLOOKUP(A494, BIOSIM_REF!$A:$E, 3, FALSE)</f>
        <v>#N/A</v>
      </c>
      <c r="G494" t="e">
        <f>VLOOKUP(A494, BIOSIM_REF!$A:$E, 4, FALSE)</f>
        <v>#N/A</v>
      </c>
      <c r="H494" t="e">
        <f>VLOOKUP(A494, BIOSIM_REF!$A:$E, 5, FALSE)</f>
        <v>#N/A</v>
      </c>
    </row>
    <row r="495" spans="1:8" hidden="1" x14ac:dyDescent="0.25">
      <c r="A495" s="1" t="s">
        <v>986</v>
      </c>
      <c r="B495" t="s">
        <v>1022</v>
      </c>
      <c r="C495">
        <v>60442.74</v>
      </c>
      <c r="D495">
        <v>3941</v>
      </c>
      <c r="E495">
        <v>15.33690434</v>
      </c>
      <c r="F495" t="e">
        <f>VLOOKUP(A495, BIOSIM_REF!$A:$E, 3, FALSE)</f>
        <v>#N/A</v>
      </c>
      <c r="G495" t="e">
        <f>VLOOKUP(A495, BIOSIM_REF!$A:$E, 4, FALSE)</f>
        <v>#N/A</v>
      </c>
      <c r="H495" t="e">
        <f>VLOOKUP(A495, BIOSIM_REF!$A:$E, 5, FALSE)</f>
        <v>#N/A</v>
      </c>
    </row>
    <row r="496" spans="1:8" hidden="1" x14ac:dyDescent="0.25">
      <c r="A496" s="1" t="s">
        <v>987</v>
      </c>
      <c r="B496" t="s">
        <v>1023</v>
      </c>
      <c r="C496">
        <v>59468.58</v>
      </c>
      <c r="D496">
        <v>90270</v>
      </c>
      <c r="E496">
        <v>0.65878564299999998</v>
      </c>
      <c r="F496" t="e">
        <f>VLOOKUP(A496, BIOSIM_REF!$A:$E, 3, FALSE)</f>
        <v>#N/A</v>
      </c>
      <c r="G496" t="e">
        <f>VLOOKUP(A496, BIOSIM_REF!$A:$E, 4, FALSE)</f>
        <v>#N/A</v>
      </c>
      <c r="H496" t="e">
        <f>VLOOKUP(A496, BIOSIM_REF!$A:$E, 5, FALSE)</f>
        <v>#N/A</v>
      </c>
    </row>
    <row r="497" spans="1:8" hidden="1" x14ac:dyDescent="0.25">
      <c r="A497" s="1" t="s">
        <v>988</v>
      </c>
      <c r="B497" t="s">
        <v>1024</v>
      </c>
      <c r="C497">
        <v>57396.7</v>
      </c>
      <c r="D497">
        <v>180</v>
      </c>
      <c r="E497">
        <v>318.87055559999999</v>
      </c>
      <c r="F497" t="e">
        <f>VLOOKUP(A497, BIOSIM_REF!$A:$E, 3, FALSE)</f>
        <v>#N/A</v>
      </c>
      <c r="G497" t="e">
        <f>VLOOKUP(A497, BIOSIM_REF!$A:$E, 4, FALSE)</f>
        <v>#N/A</v>
      </c>
      <c r="H497" t="e">
        <f>VLOOKUP(A497, BIOSIM_REF!$A:$E, 5, FALSE)</f>
        <v>#N/A</v>
      </c>
    </row>
    <row r="498" spans="1:8" hidden="1" x14ac:dyDescent="0.25">
      <c r="A498" s="1" t="s">
        <v>989</v>
      </c>
      <c r="B498" t="s">
        <v>1025</v>
      </c>
      <c r="C498">
        <v>55958.57</v>
      </c>
      <c r="D498">
        <v>122</v>
      </c>
      <c r="E498">
        <v>458.67680330000002</v>
      </c>
      <c r="F498" t="e">
        <f>VLOOKUP(A498, BIOSIM_REF!$A:$E, 3, FALSE)</f>
        <v>#N/A</v>
      </c>
      <c r="G498" t="e">
        <f>VLOOKUP(A498, BIOSIM_REF!$A:$E, 4, FALSE)</f>
        <v>#N/A</v>
      </c>
      <c r="H498" t="e">
        <f>VLOOKUP(A498, BIOSIM_REF!$A:$E, 5, FALSE)</f>
        <v>#N/A</v>
      </c>
    </row>
    <row r="499" spans="1:8" hidden="1" x14ac:dyDescent="0.25">
      <c r="A499" s="1" t="s">
        <v>990</v>
      </c>
      <c r="B499" t="s">
        <v>1026</v>
      </c>
      <c r="C499">
        <v>54968.88</v>
      </c>
      <c r="D499">
        <v>2905</v>
      </c>
      <c r="E499">
        <v>18.922161790000001</v>
      </c>
      <c r="F499" t="e">
        <f>VLOOKUP(A499, BIOSIM_REF!$A:$E, 3, FALSE)</f>
        <v>#N/A</v>
      </c>
      <c r="G499" t="e">
        <f>VLOOKUP(A499, BIOSIM_REF!$A:$E, 4, FALSE)</f>
        <v>#N/A</v>
      </c>
      <c r="H499" t="e">
        <f>VLOOKUP(A499, BIOSIM_REF!$A:$E, 5, FALSE)</f>
        <v>#N/A</v>
      </c>
    </row>
    <row r="500" spans="1:8" hidden="1" x14ac:dyDescent="0.25">
      <c r="A500" s="1" t="s">
        <v>991</v>
      </c>
      <c r="B500" t="s">
        <v>1027</v>
      </c>
      <c r="C500">
        <v>54746.94</v>
      </c>
      <c r="D500">
        <v>44</v>
      </c>
      <c r="E500">
        <v>1244.248636</v>
      </c>
      <c r="F500" t="e">
        <f>VLOOKUP(A500, BIOSIM_REF!$A:$E, 3, FALSE)</f>
        <v>#N/A</v>
      </c>
      <c r="G500" t="e">
        <f>VLOOKUP(A500, BIOSIM_REF!$A:$E, 4, FALSE)</f>
        <v>#N/A</v>
      </c>
      <c r="H500" t="e">
        <f>VLOOKUP(A500, BIOSIM_REF!$A:$E, 5, FALSE)</f>
        <v>#N/A</v>
      </c>
    </row>
    <row r="501" spans="1:8" hidden="1" x14ac:dyDescent="0.25">
      <c r="A501" s="1" t="s">
        <v>992</v>
      </c>
      <c r="B501" t="s">
        <v>1028</v>
      </c>
      <c r="C501">
        <v>52359.5</v>
      </c>
      <c r="D501">
        <v>10880</v>
      </c>
      <c r="E501">
        <v>4.8124540439999999</v>
      </c>
      <c r="F501" t="e">
        <f>VLOOKUP(A501, BIOSIM_REF!$A:$E, 3, FALSE)</f>
        <v>#N/A</v>
      </c>
      <c r="G501" t="e">
        <f>VLOOKUP(A501, BIOSIM_REF!$A:$E, 4, FALSE)</f>
        <v>#N/A</v>
      </c>
      <c r="H501" t="e">
        <f>VLOOKUP(A501, BIOSIM_REF!$A:$E, 5, FALSE)</f>
        <v>#N/A</v>
      </c>
    </row>
    <row r="502" spans="1:8" hidden="1" x14ac:dyDescent="0.25">
      <c r="A502" s="1" t="s">
        <v>993</v>
      </c>
      <c r="B502" t="s">
        <v>1029</v>
      </c>
      <c r="C502">
        <v>52084.47</v>
      </c>
      <c r="D502">
        <v>730</v>
      </c>
      <c r="E502">
        <v>71.348589039999993</v>
      </c>
      <c r="F502" t="e">
        <f>VLOOKUP(A502, BIOSIM_REF!$A:$E, 3, FALSE)</f>
        <v>#N/A</v>
      </c>
      <c r="G502" t="e">
        <f>VLOOKUP(A502, BIOSIM_REF!$A:$E, 4, FALSE)</f>
        <v>#N/A</v>
      </c>
      <c r="H502" t="e">
        <f>VLOOKUP(A502, BIOSIM_REF!$A:$E, 5, FALSE)</f>
        <v>#N/A</v>
      </c>
    </row>
    <row r="503" spans="1:8" hidden="1" x14ac:dyDescent="0.25">
      <c r="A503" s="1" t="s">
        <v>994</v>
      </c>
      <c r="B503" t="s">
        <v>1030</v>
      </c>
      <c r="C503">
        <v>50329.41</v>
      </c>
      <c r="D503">
        <v>112</v>
      </c>
      <c r="E503">
        <v>449.36973210000002</v>
      </c>
      <c r="F503" t="e">
        <f>VLOOKUP(A503, BIOSIM_REF!$A:$E, 3, FALSE)</f>
        <v>#N/A</v>
      </c>
      <c r="G503" t="e">
        <f>VLOOKUP(A503, BIOSIM_REF!$A:$E, 4, FALSE)</f>
        <v>#N/A</v>
      </c>
      <c r="H503" t="e">
        <f>VLOOKUP(A503, BIOSIM_REF!$A:$E, 5, FALSE)</f>
        <v>#N/A</v>
      </c>
    </row>
    <row r="504" spans="1:8" hidden="1" x14ac:dyDescent="0.25">
      <c r="A504" s="1" t="s">
        <v>995</v>
      </c>
      <c r="B504" t="s">
        <v>1031</v>
      </c>
      <c r="C504">
        <v>50174.89</v>
      </c>
      <c r="D504">
        <v>1909</v>
      </c>
      <c r="E504">
        <v>26.28333683</v>
      </c>
      <c r="F504" t="e">
        <f>VLOOKUP(A504, BIOSIM_REF!$A:$E, 3, FALSE)</f>
        <v>#N/A</v>
      </c>
      <c r="G504" t="e">
        <f>VLOOKUP(A504, BIOSIM_REF!$A:$E, 4, FALSE)</f>
        <v>#N/A</v>
      </c>
      <c r="H504" t="e">
        <f>VLOOKUP(A504, BIOSIM_REF!$A:$E, 5, FALSE)</f>
        <v>#N/A</v>
      </c>
    </row>
    <row r="505" spans="1:8" hidden="1" x14ac:dyDescent="0.25">
      <c r="A505" s="1" t="s">
        <v>996</v>
      </c>
      <c r="B505" t="s">
        <v>1032</v>
      </c>
      <c r="C505">
        <v>49969.34</v>
      </c>
      <c r="D505">
        <v>286</v>
      </c>
      <c r="E505">
        <v>174.717972</v>
      </c>
      <c r="F505" t="e">
        <f>VLOOKUP(A505, BIOSIM_REF!$A:$E, 3, FALSE)</f>
        <v>#N/A</v>
      </c>
      <c r="G505" t="e">
        <f>VLOOKUP(A505, BIOSIM_REF!$A:$E, 4, FALSE)</f>
        <v>#N/A</v>
      </c>
      <c r="H505" t="e">
        <f>VLOOKUP(A505, BIOSIM_REF!$A:$E, 5, FALSE)</f>
        <v>#N/A</v>
      </c>
    </row>
    <row r="506" spans="1:8" hidden="1" x14ac:dyDescent="0.25">
      <c r="A506" s="1" t="s">
        <v>997</v>
      </c>
      <c r="B506" t="s">
        <v>1033</v>
      </c>
      <c r="C506">
        <v>49493.48</v>
      </c>
      <c r="D506">
        <v>146</v>
      </c>
      <c r="E506">
        <v>338.99643839999999</v>
      </c>
      <c r="F506" t="e">
        <f>VLOOKUP(A506, BIOSIM_REF!$A:$E, 3, FALSE)</f>
        <v>#N/A</v>
      </c>
      <c r="G506" t="e">
        <f>VLOOKUP(A506, BIOSIM_REF!$A:$E, 4, FALSE)</f>
        <v>#N/A</v>
      </c>
      <c r="H506" t="e">
        <f>VLOOKUP(A506, BIOSIM_REF!$A:$E, 5, FALSE)</f>
        <v>#N/A</v>
      </c>
    </row>
    <row r="507" spans="1:8" hidden="1" x14ac:dyDescent="0.25">
      <c r="A507" s="1" t="s">
        <v>998</v>
      </c>
      <c r="B507" t="s">
        <v>1034</v>
      </c>
      <c r="C507">
        <v>47649.77</v>
      </c>
      <c r="D507">
        <v>716</v>
      </c>
      <c r="E507">
        <v>66.549958099999998</v>
      </c>
      <c r="F507" t="e">
        <f>VLOOKUP(A507, BIOSIM_REF!$A:$E, 3, FALSE)</f>
        <v>#N/A</v>
      </c>
      <c r="G507" t="e">
        <f>VLOOKUP(A507, BIOSIM_REF!$A:$E, 4, FALSE)</f>
        <v>#N/A</v>
      </c>
      <c r="H507" t="e">
        <f>VLOOKUP(A507, BIOSIM_REF!$A:$E, 5, FALSE)</f>
        <v>#N/A</v>
      </c>
    </row>
    <row r="508" spans="1:8" hidden="1" x14ac:dyDescent="0.25">
      <c r="A508" s="1" t="s">
        <v>999</v>
      </c>
      <c r="B508" t="s">
        <v>1035</v>
      </c>
      <c r="C508">
        <v>45424.639999999999</v>
      </c>
      <c r="D508">
        <v>721</v>
      </c>
      <c r="E508">
        <v>63.002274620000001</v>
      </c>
      <c r="F508" t="e">
        <f>VLOOKUP(A508, BIOSIM_REF!$A:$E, 3, FALSE)</f>
        <v>#N/A</v>
      </c>
      <c r="G508" t="e">
        <f>VLOOKUP(A508, BIOSIM_REF!$A:$E, 4, FALSE)</f>
        <v>#N/A</v>
      </c>
      <c r="H508" t="e">
        <f>VLOOKUP(A508, BIOSIM_REF!$A:$E, 5, FALSE)</f>
        <v>#N/A</v>
      </c>
    </row>
    <row r="509" spans="1:8" hidden="1" x14ac:dyDescent="0.25">
      <c r="A509" s="1" t="s">
        <v>1000</v>
      </c>
      <c r="B509" t="s">
        <v>1036</v>
      </c>
      <c r="C509">
        <v>44700.99</v>
      </c>
      <c r="D509">
        <v>21257</v>
      </c>
      <c r="E509">
        <v>2.102883286</v>
      </c>
      <c r="F509" t="e">
        <f>VLOOKUP(A509, BIOSIM_REF!$A:$E, 3, FALSE)</f>
        <v>#N/A</v>
      </c>
      <c r="G509" t="e">
        <f>VLOOKUP(A509, BIOSIM_REF!$A:$E, 4, FALSE)</f>
        <v>#N/A</v>
      </c>
      <c r="H509" t="e">
        <f>VLOOKUP(A509, BIOSIM_REF!$A:$E, 5, FALSE)</f>
        <v>#N/A</v>
      </c>
    </row>
    <row r="510" spans="1:8" hidden="1" x14ac:dyDescent="0.25">
      <c r="A510" s="1" t="s">
        <v>1001</v>
      </c>
      <c r="B510" t="s">
        <v>1037</v>
      </c>
      <c r="C510">
        <v>43542.3</v>
      </c>
      <c r="D510">
        <v>20</v>
      </c>
      <c r="E510">
        <v>2177.1149999999998</v>
      </c>
      <c r="F510" t="e">
        <f>VLOOKUP(A510, BIOSIM_REF!$A:$E, 3, FALSE)</f>
        <v>#N/A</v>
      </c>
      <c r="G510" t="e">
        <f>VLOOKUP(A510, BIOSIM_REF!$A:$E, 4, FALSE)</f>
        <v>#N/A</v>
      </c>
      <c r="H510" t="e">
        <f>VLOOKUP(A510, BIOSIM_REF!$A:$E, 5, FALSE)</f>
        <v>#N/A</v>
      </c>
    </row>
    <row r="511" spans="1:8" hidden="1" x14ac:dyDescent="0.25">
      <c r="A511" s="1" t="s">
        <v>1002</v>
      </c>
      <c r="B511" t="s">
        <v>1038</v>
      </c>
      <c r="C511">
        <v>42812.15</v>
      </c>
      <c r="D511">
        <v>96</v>
      </c>
      <c r="E511">
        <v>445.95989580000003</v>
      </c>
      <c r="F511" t="e">
        <f>VLOOKUP(A511, BIOSIM_REF!$A:$E, 3, FALSE)</f>
        <v>#N/A</v>
      </c>
      <c r="G511" t="e">
        <f>VLOOKUP(A511, BIOSIM_REF!$A:$E, 4, FALSE)</f>
        <v>#N/A</v>
      </c>
      <c r="H511" t="e">
        <f>VLOOKUP(A511, BIOSIM_REF!$A:$E, 5, FALSE)</f>
        <v>#N/A</v>
      </c>
    </row>
    <row r="512" spans="1:8" hidden="1" x14ac:dyDescent="0.25">
      <c r="A512" s="1" t="s">
        <v>1003</v>
      </c>
      <c r="B512" t="s">
        <v>1039</v>
      </c>
      <c r="C512">
        <v>42285.07</v>
      </c>
      <c r="D512">
        <v>90</v>
      </c>
      <c r="E512">
        <v>469.83411109999997</v>
      </c>
      <c r="F512" t="e">
        <f>VLOOKUP(A512, BIOSIM_REF!$A:$E, 3, FALSE)</f>
        <v>#N/A</v>
      </c>
      <c r="G512" t="e">
        <f>VLOOKUP(A512, BIOSIM_REF!$A:$E, 4, FALSE)</f>
        <v>#N/A</v>
      </c>
      <c r="H512" t="e">
        <f>VLOOKUP(A512, BIOSIM_REF!$A:$E, 5, FALSE)</f>
        <v>#N/A</v>
      </c>
    </row>
    <row r="513" spans="1:8" hidden="1" x14ac:dyDescent="0.25">
      <c r="A513" s="1" t="s">
        <v>1004</v>
      </c>
      <c r="B513" t="s">
        <v>1040</v>
      </c>
      <c r="C513">
        <v>41654.019999999997</v>
      </c>
      <c r="D513">
        <v>429</v>
      </c>
      <c r="E513">
        <v>97.095617720000007</v>
      </c>
      <c r="F513" t="e">
        <f>VLOOKUP(A513, BIOSIM_REF!$A:$E, 3, FALSE)</f>
        <v>#N/A</v>
      </c>
      <c r="G513" t="e">
        <f>VLOOKUP(A513, BIOSIM_REF!$A:$E, 4, FALSE)</f>
        <v>#N/A</v>
      </c>
      <c r="H513" t="e">
        <f>VLOOKUP(A513, BIOSIM_REF!$A:$E, 5, FALSE)</f>
        <v>#N/A</v>
      </c>
    </row>
    <row r="514" spans="1:8" hidden="1" x14ac:dyDescent="0.25">
      <c r="A514" s="1" t="s">
        <v>1005</v>
      </c>
      <c r="B514" t="s">
        <v>1041</v>
      </c>
      <c r="C514">
        <v>41277.919999999998</v>
      </c>
      <c r="D514">
        <v>225</v>
      </c>
      <c r="E514">
        <v>183.4574222</v>
      </c>
      <c r="F514" t="e">
        <f>VLOOKUP(A514, BIOSIM_REF!$A:$E, 3, FALSE)</f>
        <v>#N/A</v>
      </c>
      <c r="G514" t="e">
        <f>VLOOKUP(A514, BIOSIM_REF!$A:$E, 4, FALSE)</f>
        <v>#N/A</v>
      </c>
      <c r="H514" t="e">
        <f>VLOOKUP(A514, BIOSIM_REF!$A:$E, 5, FALSE)</f>
        <v>#N/A</v>
      </c>
    </row>
    <row r="515" spans="1:8" hidden="1" x14ac:dyDescent="0.25">
      <c r="A515" s="1">
        <v>90377</v>
      </c>
      <c r="B515" t="s">
        <v>1623</v>
      </c>
      <c r="C515">
        <v>41097.879999999997</v>
      </c>
      <c r="D515">
        <v>16</v>
      </c>
      <c r="E515">
        <v>2568.6174999999998</v>
      </c>
      <c r="F515" t="e">
        <f>VLOOKUP(A515, BIOSIM_REF!$A:$E, 3, FALSE)</f>
        <v>#N/A</v>
      </c>
      <c r="G515" t="e">
        <f>VLOOKUP(A515, BIOSIM_REF!$A:$E, 4, FALSE)</f>
        <v>#N/A</v>
      </c>
      <c r="H515" t="e">
        <f>VLOOKUP(A515, BIOSIM_REF!$A:$E, 5, FALSE)</f>
        <v>#N/A</v>
      </c>
    </row>
    <row r="516" spans="1:8" hidden="1" x14ac:dyDescent="0.25">
      <c r="A516" s="1" t="s">
        <v>1062</v>
      </c>
      <c r="B516" t="s">
        <v>1067</v>
      </c>
      <c r="C516">
        <v>40614.339999999997</v>
      </c>
      <c r="D516">
        <v>47</v>
      </c>
      <c r="E516">
        <v>864.13489360000005</v>
      </c>
      <c r="F516" t="e">
        <f>VLOOKUP(A516, BIOSIM_REF!$A:$E, 3, FALSE)</f>
        <v>#N/A</v>
      </c>
      <c r="G516" t="e">
        <f>VLOOKUP(A516, BIOSIM_REF!$A:$E, 4, FALSE)</f>
        <v>#N/A</v>
      </c>
      <c r="H516" t="e">
        <f>VLOOKUP(A516, BIOSIM_REF!$A:$E, 5, FALSE)</f>
        <v>#N/A</v>
      </c>
    </row>
    <row r="517" spans="1:8" hidden="1" x14ac:dyDescent="0.25">
      <c r="A517" s="1" t="s">
        <v>1063</v>
      </c>
      <c r="B517" t="s">
        <v>1068</v>
      </c>
      <c r="C517">
        <v>40592.76</v>
      </c>
      <c r="D517">
        <v>4024</v>
      </c>
      <c r="E517">
        <v>10.08766402</v>
      </c>
      <c r="F517" t="e">
        <f>VLOOKUP(A517, BIOSIM_REF!$A:$E, 3, FALSE)</f>
        <v>#N/A</v>
      </c>
      <c r="G517" t="e">
        <f>VLOOKUP(A517, BIOSIM_REF!$A:$E, 4, FALSE)</f>
        <v>#N/A</v>
      </c>
      <c r="H517" t="e">
        <f>VLOOKUP(A517, BIOSIM_REF!$A:$E, 5, FALSE)</f>
        <v>#N/A</v>
      </c>
    </row>
    <row r="518" spans="1:8" hidden="1" x14ac:dyDescent="0.25">
      <c r="A518" s="1" t="s">
        <v>1064</v>
      </c>
      <c r="B518" t="s">
        <v>1069</v>
      </c>
      <c r="C518">
        <v>40586.92</v>
      </c>
      <c r="D518">
        <v>15037</v>
      </c>
      <c r="E518">
        <v>2.6991367959999999</v>
      </c>
      <c r="F518" t="e">
        <f>VLOOKUP(A518, BIOSIM_REF!$A:$E, 3, FALSE)</f>
        <v>#N/A</v>
      </c>
      <c r="G518" t="e">
        <f>VLOOKUP(A518, BIOSIM_REF!$A:$E, 4, FALSE)</f>
        <v>#N/A</v>
      </c>
      <c r="H518" t="e">
        <f>VLOOKUP(A518, BIOSIM_REF!$A:$E, 5, FALSE)</f>
        <v>#N/A</v>
      </c>
    </row>
    <row r="519" spans="1:8" hidden="1" x14ac:dyDescent="0.25">
      <c r="A519" s="1" t="s">
        <v>1065</v>
      </c>
      <c r="B519" t="s">
        <v>1070</v>
      </c>
      <c r="C519">
        <v>39529.129999999997</v>
      </c>
      <c r="D519">
        <v>31</v>
      </c>
      <c r="E519">
        <v>1275.1332259999999</v>
      </c>
      <c r="F519" t="e">
        <f>VLOOKUP(A519, BIOSIM_REF!$A:$E, 3, FALSE)</f>
        <v>#N/A</v>
      </c>
      <c r="G519" t="e">
        <f>VLOOKUP(A519, BIOSIM_REF!$A:$E, 4, FALSE)</f>
        <v>#N/A</v>
      </c>
      <c r="H519" t="e">
        <f>VLOOKUP(A519, BIOSIM_REF!$A:$E, 5, FALSE)</f>
        <v>#N/A</v>
      </c>
    </row>
    <row r="520" spans="1:8" hidden="1" x14ac:dyDescent="0.25">
      <c r="A520" s="1" t="s">
        <v>1066</v>
      </c>
      <c r="B520" t="s">
        <v>1071</v>
      </c>
      <c r="C520">
        <v>36637.919999999998</v>
      </c>
      <c r="D520">
        <v>3788</v>
      </c>
      <c r="E520">
        <v>9.6721013730000003</v>
      </c>
      <c r="F520" t="e">
        <f>VLOOKUP(A520, BIOSIM_REF!$A:$E, 3, FALSE)</f>
        <v>#N/A</v>
      </c>
      <c r="G520" t="e">
        <f>VLOOKUP(A520, BIOSIM_REF!$A:$E, 4, FALSE)</f>
        <v>#N/A</v>
      </c>
      <c r="H520" t="e">
        <f>VLOOKUP(A520, BIOSIM_REF!$A:$E, 5, FALSE)</f>
        <v>#N/A</v>
      </c>
    </row>
    <row r="521" spans="1:8" hidden="1" x14ac:dyDescent="0.25">
      <c r="A521" s="1" t="s">
        <v>1490</v>
      </c>
      <c r="B521" t="s">
        <v>1624</v>
      </c>
      <c r="C521">
        <v>35885.78</v>
      </c>
      <c r="D521">
        <v>14</v>
      </c>
      <c r="E521">
        <v>2563.27</v>
      </c>
      <c r="F521" t="e">
        <f>VLOOKUP(A521, BIOSIM_REF!$A:$E, 3, FALSE)</f>
        <v>#N/A</v>
      </c>
      <c r="G521" t="e">
        <f>VLOOKUP(A521, BIOSIM_REF!$A:$E, 4, FALSE)</f>
        <v>#N/A</v>
      </c>
      <c r="H521" t="e">
        <f>VLOOKUP(A521, BIOSIM_REF!$A:$E, 5, FALSE)</f>
        <v>#N/A</v>
      </c>
    </row>
    <row r="522" spans="1:8" hidden="1" x14ac:dyDescent="0.25">
      <c r="A522" s="1" t="s">
        <v>1075</v>
      </c>
      <c r="B522" t="s">
        <v>1081</v>
      </c>
      <c r="C522">
        <v>34538.04</v>
      </c>
      <c r="D522">
        <v>330</v>
      </c>
      <c r="E522">
        <v>104.6607273</v>
      </c>
      <c r="F522" t="e">
        <f>VLOOKUP(A522, BIOSIM_REF!$A:$E, 3, FALSE)</f>
        <v>#N/A</v>
      </c>
      <c r="G522" t="e">
        <f>VLOOKUP(A522, BIOSIM_REF!$A:$E, 4, FALSE)</f>
        <v>#N/A</v>
      </c>
      <c r="H522" t="e">
        <f>VLOOKUP(A522, BIOSIM_REF!$A:$E, 5, FALSE)</f>
        <v>#N/A</v>
      </c>
    </row>
    <row r="523" spans="1:8" hidden="1" x14ac:dyDescent="0.25">
      <c r="A523" s="1" t="s">
        <v>1076</v>
      </c>
      <c r="B523" t="s">
        <v>1082</v>
      </c>
      <c r="C523">
        <v>30866.36</v>
      </c>
      <c r="D523">
        <v>110</v>
      </c>
      <c r="E523">
        <v>280.60327269999999</v>
      </c>
      <c r="F523" t="e">
        <f>VLOOKUP(A523, BIOSIM_REF!$A:$E, 3, FALSE)</f>
        <v>#N/A</v>
      </c>
      <c r="G523" t="e">
        <f>VLOOKUP(A523, BIOSIM_REF!$A:$E, 4, FALSE)</f>
        <v>#N/A</v>
      </c>
      <c r="H523" t="e">
        <f>VLOOKUP(A523, BIOSIM_REF!$A:$E, 5, FALSE)</f>
        <v>#N/A</v>
      </c>
    </row>
    <row r="524" spans="1:8" hidden="1" x14ac:dyDescent="0.25">
      <c r="A524" s="1" t="s">
        <v>1077</v>
      </c>
      <c r="B524" t="s">
        <v>1083</v>
      </c>
      <c r="C524">
        <v>29577.72</v>
      </c>
      <c r="D524">
        <v>202</v>
      </c>
      <c r="E524">
        <v>146.42435639999999</v>
      </c>
      <c r="F524" t="e">
        <f>VLOOKUP(A524, BIOSIM_REF!$A:$E, 3, FALSE)</f>
        <v>#N/A</v>
      </c>
      <c r="G524" t="e">
        <f>VLOOKUP(A524, BIOSIM_REF!$A:$E, 4, FALSE)</f>
        <v>#N/A</v>
      </c>
      <c r="H524" t="e">
        <f>VLOOKUP(A524, BIOSIM_REF!$A:$E, 5, FALSE)</f>
        <v>#N/A</v>
      </c>
    </row>
    <row r="525" spans="1:8" hidden="1" x14ac:dyDescent="0.25">
      <c r="A525" s="1" t="s">
        <v>1078</v>
      </c>
      <c r="B525" t="s">
        <v>1084</v>
      </c>
      <c r="C525">
        <v>29474.6</v>
      </c>
      <c r="D525">
        <v>1947</v>
      </c>
      <c r="E525">
        <v>15.13846944</v>
      </c>
      <c r="F525" t="e">
        <f>VLOOKUP(A525, BIOSIM_REF!$A:$E, 3, FALSE)</f>
        <v>#N/A</v>
      </c>
      <c r="G525" t="e">
        <f>VLOOKUP(A525, BIOSIM_REF!$A:$E, 4, FALSE)</f>
        <v>#N/A</v>
      </c>
      <c r="H525" t="e">
        <f>VLOOKUP(A525, BIOSIM_REF!$A:$E, 5, FALSE)</f>
        <v>#N/A</v>
      </c>
    </row>
    <row r="526" spans="1:8" hidden="1" x14ac:dyDescent="0.25">
      <c r="A526" s="1" t="s">
        <v>1079</v>
      </c>
      <c r="B526" t="s">
        <v>1085</v>
      </c>
      <c r="C526">
        <v>29112.93</v>
      </c>
      <c r="D526">
        <v>30</v>
      </c>
      <c r="E526">
        <v>970.43100000000004</v>
      </c>
      <c r="F526" t="e">
        <f>VLOOKUP(A526, BIOSIM_REF!$A:$E, 3, FALSE)</f>
        <v>#N/A</v>
      </c>
      <c r="G526" t="e">
        <f>VLOOKUP(A526, BIOSIM_REF!$A:$E, 4, FALSE)</f>
        <v>#N/A</v>
      </c>
      <c r="H526" t="e">
        <f>VLOOKUP(A526, BIOSIM_REF!$A:$E, 5, FALSE)</f>
        <v>#N/A</v>
      </c>
    </row>
    <row r="527" spans="1:8" hidden="1" x14ac:dyDescent="0.25">
      <c r="A527" s="1" t="s">
        <v>1080</v>
      </c>
      <c r="B527" t="s">
        <v>1086</v>
      </c>
      <c r="C527">
        <v>28303.57</v>
      </c>
      <c r="D527">
        <v>15</v>
      </c>
      <c r="E527">
        <v>1886.904667</v>
      </c>
      <c r="F527" t="e">
        <f>VLOOKUP(A527, BIOSIM_REF!$A:$E, 3, FALSE)</f>
        <v>#N/A</v>
      </c>
      <c r="G527" t="e">
        <f>VLOOKUP(A527, BIOSIM_REF!$A:$E, 4, FALSE)</f>
        <v>#N/A</v>
      </c>
      <c r="H527" t="e">
        <f>VLOOKUP(A527, BIOSIM_REF!$A:$E, 5, FALSE)</f>
        <v>#N/A</v>
      </c>
    </row>
    <row r="528" spans="1:8" hidden="1" x14ac:dyDescent="0.25">
      <c r="A528" s="1" t="s">
        <v>1491</v>
      </c>
      <c r="B528" t="s">
        <v>1625</v>
      </c>
      <c r="C528">
        <v>28038.69</v>
      </c>
      <c r="D528">
        <v>11</v>
      </c>
      <c r="E528">
        <v>2548.971818</v>
      </c>
      <c r="F528" t="e">
        <f>VLOOKUP(A528, BIOSIM_REF!$A:$E, 3, FALSE)</f>
        <v>#N/A</v>
      </c>
      <c r="G528" t="e">
        <f>VLOOKUP(A528, BIOSIM_REF!$A:$E, 4, FALSE)</f>
        <v>#N/A</v>
      </c>
      <c r="H528" t="e">
        <f>VLOOKUP(A528, BIOSIM_REF!$A:$E, 5, FALSE)</f>
        <v>#N/A</v>
      </c>
    </row>
    <row r="529" spans="1:8" hidden="1" x14ac:dyDescent="0.25">
      <c r="A529" s="1" t="s">
        <v>1089</v>
      </c>
      <c r="B529" t="s">
        <v>1095</v>
      </c>
      <c r="C529">
        <v>27500.98</v>
      </c>
      <c r="D529">
        <v>23</v>
      </c>
      <c r="E529">
        <v>1195.6947829999999</v>
      </c>
      <c r="F529" t="e">
        <f>VLOOKUP(A529, BIOSIM_REF!$A:$E, 3, FALSE)</f>
        <v>#N/A</v>
      </c>
      <c r="G529" t="e">
        <f>VLOOKUP(A529, BIOSIM_REF!$A:$E, 4, FALSE)</f>
        <v>#N/A</v>
      </c>
      <c r="H529" t="e">
        <f>VLOOKUP(A529, BIOSIM_REF!$A:$E, 5, FALSE)</f>
        <v>#N/A</v>
      </c>
    </row>
    <row r="530" spans="1:8" hidden="1" x14ac:dyDescent="0.25">
      <c r="A530" s="1" t="s">
        <v>1090</v>
      </c>
      <c r="B530" t="s">
        <v>1096</v>
      </c>
      <c r="C530">
        <v>27431.88</v>
      </c>
      <c r="D530">
        <v>238</v>
      </c>
      <c r="E530">
        <v>115.26</v>
      </c>
      <c r="F530" t="e">
        <f>VLOOKUP(A530, BIOSIM_REF!$A:$E, 3, FALSE)</f>
        <v>#N/A</v>
      </c>
      <c r="G530" t="e">
        <f>VLOOKUP(A530, BIOSIM_REF!$A:$E, 4, FALSE)</f>
        <v>#N/A</v>
      </c>
      <c r="H530" t="e">
        <f>VLOOKUP(A530, BIOSIM_REF!$A:$E, 5, FALSE)</f>
        <v>#N/A</v>
      </c>
    </row>
    <row r="531" spans="1:8" hidden="1" x14ac:dyDescent="0.25">
      <c r="A531" s="1" t="s">
        <v>1091</v>
      </c>
      <c r="B531" t="s">
        <v>1097</v>
      </c>
      <c r="C531">
        <v>25977.37</v>
      </c>
      <c r="D531">
        <v>207</v>
      </c>
      <c r="E531">
        <v>125.49454110000001</v>
      </c>
      <c r="F531" t="e">
        <f>VLOOKUP(A531, BIOSIM_REF!$A:$E, 3, FALSE)</f>
        <v>#N/A</v>
      </c>
      <c r="G531" t="e">
        <f>VLOOKUP(A531, BIOSIM_REF!$A:$E, 4, FALSE)</f>
        <v>#N/A</v>
      </c>
      <c r="H531" t="e">
        <f>VLOOKUP(A531, BIOSIM_REF!$A:$E, 5, FALSE)</f>
        <v>#N/A</v>
      </c>
    </row>
    <row r="532" spans="1:8" hidden="1" x14ac:dyDescent="0.25">
      <c r="A532" s="1" t="s">
        <v>1092</v>
      </c>
      <c r="B532" t="s">
        <v>1098</v>
      </c>
      <c r="C532">
        <v>25495.94</v>
      </c>
      <c r="D532">
        <v>69</v>
      </c>
      <c r="E532">
        <v>369.5063768</v>
      </c>
      <c r="F532" t="e">
        <f>VLOOKUP(A532, BIOSIM_REF!$A:$E, 3, FALSE)</f>
        <v>#N/A</v>
      </c>
      <c r="G532" t="e">
        <f>VLOOKUP(A532, BIOSIM_REF!$A:$E, 4, FALSE)</f>
        <v>#N/A</v>
      </c>
      <c r="H532" t="e">
        <f>VLOOKUP(A532, BIOSIM_REF!$A:$E, 5, FALSE)</f>
        <v>#N/A</v>
      </c>
    </row>
    <row r="533" spans="1:8" hidden="1" x14ac:dyDescent="0.25">
      <c r="A533" s="1" t="s">
        <v>1093</v>
      </c>
      <c r="B533" t="s">
        <v>1099</v>
      </c>
      <c r="C533">
        <v>23846.46</v>
      </c>
      <c r="D533">
        <v>1979</v>
      </c>
      <c r="E533">
        <v>12.049752399999999</v>
      </c>
      <c r="F533" t="e">
        <f>VLOOKUP(A533, BIOSIM_REF!$A:$E, 3, FALSE)</f>
        <v>#N/A</v>
      </c>
      <c r="G533" t="e">
        <f>VLOOKUP(A533, BIOSIM_REF!$A:$E, 4, FALSE)</f>
        <v>#N/A</v>
      </c>
      <c r="H533" t="e">
        <f>VLOOKUP(A533, BIOSIM_REF!$A:$E, 5, FALSE)</f>
        <v>#N/A</v>
      </c>
    </row>
    <row r="534" spans="1:8" hidden="1" x14ac:dyDescent="0.25">
      <c r="A534" s="1" t="s">
        <v>1094</v>
      </c>
      <c r="B534" t="s">
        <v>1100</v>
      </c>
      <c r="C534">
        <v>23783.98</v>
      </c>
      <c r="D534">
        <v>19</v>
      </c>
      <c r="E534">
        <v>1251.788421</v>
      </c>
      <c r="F534" t="e">
        <f>VLOOKUP(A534, BIOSIM_REF!$A:$E, 3, FALSE)</f>
        <v>#N/A</v>
      </c>
      <c r="G534" t="e">
        <f>VLOOKUP(A534, BIOSIM_REF!$A:$E, 4, FALSE)</f>
        <v>#N/A</v>
      </c>
      <c r="H534" t="e">
        <f>VLOOKUP(A534, BIOSIM_REF!$A:$E, 5, FALSE)</f>
        <v>#N/A</v>
      </c>
    </row>
    <row r="535" spans="1:8" hidden="1" x14ac:dyDescent="0.25">
      <c r="A535" s="1" t="s">
        <v>1492</v>
      </c>
      <c r="B535" t="s">
        <v>1626</v>
      </c>
      <c r="C535">
        <v>23244.98</v>
      </c>
      <c r="D535">
        <v>39</v>
      </c>
      <c r="E535">
        <v>596.02512820000004</v>
      </c>
      <c r="F535" t="e">
        <f>VLOOKUP(A535, BIOSIM_REF!$A:$E, 3, FALSE)</f>
        <v>#N/A</v>
      </c>
      <c r="G535" t="e">
        <f>VLOOKUP(A535, BIOSIM_REF!$A:$E, 4, FALSE)</f>
        <v>#N/A</v>
      </c>
      <c r="H535" t="e">
        <f>VLOOKUP(A535, BIOSIM_REF!$A:$E, 5, FALSE)</f>
        <v>#N/A</v>
      </c>
    </row>
    <row r="536" spans="1:8" hidden="1" x14ac:dyDescent="0.25">
      <c r="A536" s="1" t="s">
        <v>1105</v>
      </c>
      <c r="B536" t="s">
        <v>1109</v>
      </c>
      <c r="C536">
        <v>22953.45</v>
      </c>
      <c r="D536">
        <v>2738</v>
      </c>
      <c r="E536">
        <v>8.383290723</v>
      </c>
      <c r="F536" t="e">
        <f>VLOOKUP(A536, BIOSIM_REF!$A:$E, 3, FALSE)</f>
        <v>#N/A</v>
      </c>
      <c r="G536" t="e">
        <f>VLOOKUP(A536, BIOSIM_REF!$A:$E, 4, FALSE)</f>
        <v>#N/A</v>
      </c>
      <c r="H536" t="e">
        <f>VLOOKUP(A536, BIOSIM_REF!$A:$E, 5, FALSE)</f>
        <v>#N/A</v>
      </c>
    </row>
    <row r="537" spans="1:8" hidden="1" x14ac:dyDescent="0.25">
      <c r="A537" s="1" t="s">
        <v>1106</v>
      </c>
      <c r="B537" t="s">
        <v>1110</v>
      </c>
      <c r="C537">
        <v>22788.03</v>
      </c>
      <c r="D537">
        <v>3948</v>
      </c>
      <c r="E537">
        <v>5.772044073</v>
      </c>
      <c r="F537" t="e">
        <f>VLOOKUP(A537, BIOSIM_REF!$A:$E, 3, FALSE)</f>
        <v>#N/A</v>
      </c>
      <c r="G537" t="e">
        <f>VLOOKUP(A537, BIOSIM_REF!$A:$E, 4, FALSE)</f>
        <v>#N/A</v>
      </c>
      <c r="H537" t="e">
        <f>VLOOKUP(A537, BIOSIM_REF!$A:$E, 5, FALSE)</f>
        <v>#N/A</v>
      </c>
    </row>
    <row r="538" spans="1:8" hidden="1" x14ac:dyDescent="0.25">
      <c r="A538" s="1" t="s">
        <v>1107</v>
      </c>
      <c r="B538" t="s">
        <v>1111</v>
      </c>
      <c r="C538">
        <v>22672.41</v>
      </c>
      <c r="F538" t="e">
        <f>VLOOKUP(A538, BIOSIM_REF!$A:$E, 3, FALSE)</f>
        <v>#N/A</v>
      </c>
      <c r="G538" t="e">
        <f>VLOOKUP(A538, BIOSIM_REF!$A:$E, 4, FALSE)</f>
        <v>#N/A</v>
      </c>
      <c r="H538" t="e">
        <f>VLOOKUP(A538, BIOSIM_REF!$A:$E, 5, FALSE)</f>
        <v>#N/A</v>
      </c>
    </row>
    <row r="539" spans="1:8" hidden="1" x14ac:dyDescent="0.25">
      <c r="A539" s="1" t="s">
        <v>1108</v>
      </c>
      <c r="B539" t="s">
        <v>1112</v>
      </c>
      <c r="C539">
        <v>22572.25</v>
      </c>
      <c r="D539">
        <v>275</v>
      </c>
      <c r="E539">
        <v>82.080909090000006</v>
      </c>
      <c r="F539" t="e">
        <f>VLOOKUP(A539, BIOSIM_REF!$A:$E, 3, FALSE)</f>
        <v>#N/A</v>
      </c>
      <c r="G539" t="e">
        <f>VLOOKUP(A539, BIOSIM_REF!$A:$E, 4, FALSE)</f>
        <v>#N/A</v>
      </c>
      <c r="H539" t="e">
        <f>VLOOKUP(A539, BIOSIM_REF!$A:$E, 5, FALSE)</f>
        <v>#N/A</v>
      </c>
    </row>
    <row r="540" spans="1:8" hidden="1" x14ac:dyDescent="0.25">
      <c r="A540" s="1">
        <v>90744</v>
      </c>
      <c r="B540" t="s">
        <v>1113</v>
      </c>
      <c r="C540">
        <v>20949.689999999999</v>
      </c>
      <c r="D540">
        <v>310</v>
      </c>
      <c r="E540">
        <v>67.579645159999998</v>
      </c>
      <c r="F540" t="e">
        <f>VLOOKUP(A540, BIOSIM_REF!$A:$E, 3, FALSE)</f>
        <v>#N/A</v>
      </c>
      <c r="G540" t="e">
        <f>VLOOKUP(A540, BIOSIM_REF!$A:$E, 4, FALSE)</f>
        <v>#N/A</v>
      </c>
      <c r="H540" t="e">
        <f>VLOOKUP(A540, BIOSIM_REF!$A:$E, 5, FALSE)</f>
        <v>#N/A</v>
      </c>
    </row>
    <row r="541" spans="1:8" hidden="1" x14ac:dyDescent="0.25">
      <c r="A541" s="1" t="s">
        <v>1493</v>
      </c>
      <c r="B541" t="s">
        <v>1627</v>
      </c>
      <c r="C541">
        <v>19918.580000000002</v>
      </c>
      <c r="D541">
        <v>24</v>
      </c>
      <c r="E541">
        <v>829.94083330000001</v>
      </c>
      <c r="F541" t="e">
        <f>VLOOKUP(A541, BIOSIM_REF!$A:$E, 3, FALSE)</f>
        <v>#N/A</v>
      </c>
      <c r="G541" t="e">
        <f>VLOOKUP(A541, BIOSIM_REF!$A:$E, 4, FALSE)</f>
        <v>#N/A</v>
      </c>
      <c r="H541" t="e">
        <f>VLOOKUP(A541, BIOSIM_REF!$A:$E, 5, FALSE)</f>
        <v>#N/A</v>
      </c>
    </row>
    <row r="542" spans="1:8" hidden="1" x14ac:dyDescent="0.25">
      <c r="A542" s="1" t="s">
        <v>1117</v>
      </c>
      <c r="B542" t="s">
        <v>1144</v>
      </c>
      <c r="C542">
        <v>19607.14</v>
      </c>
      <c r="D542">
        <v>12</v>
      </c>
      <c r="E542">
        <v>1633.9283330000001</v>
      </c>
      <c r="F542" t="e">
        <f>VLOOKUP(A542, BIOSIM_REF!$A:$E, 3, FALSE)</f>
        <v>#N/A</v>
      </c>
      <c r="G542" t="e">
        <f>VLOOKUP(A542, BIOSIM_REF!$A:$E, 4, FALSE)</f>
        <v>#N/A</v>
      </c>
      <c r="H542" t="e">
        <f>VLOOKUP(A542, BIOSIM_REF!$A:$E, 5, FALSE)</f>
        <v>#N/A</v>
      </c>
    </row>
    <row r="543" spans="1:8" hidden="1" x14ac:dyDescent="0.25">
      <c r="A543" s="1" t="s">
        <v>1118</v>
      </c>
      <c r="B543" t="s">
        <v>1145</v>
      </c>
      <c r="C543">
        <v>17728.11</v>
      </c>
      <c r="D543">
        <v>600</v>
      </c>
      <c r="E543">
        <v>29.546849999999999</v>
      </c>
      <c r="F543" t="e">
        <f>VLOOKUP(A543, BIOSIM_REF!$A:$E, 3, FALSE)</f>
        <v>#N/A</v>
      </c>
      <c r="G543" t="e">
        <f>VLOOKUP(A543, BIOSIM_REF!$A:$E, 4, FALSE)</f>
        <v>#N/A</v>
      </c>
      <c r="H543" t="e">
        <f>VLOOKUP(A543, BIOSIM_REF!$A:$E, 5, FALSE)</f>
        <v>#N/A</v>
      </c>
    </row>
    <row r="544" spans="1:8" hidden="1" x14ac:dyDescent="0.25">
      <c r="A544" s="1" t="s">
        <v>1119</v>
      </c>
      <c r="B544" t="s">
        <v>1146</v>
      </c>
      <c r="C544">
        <v>17583.919999999998</v>
      </c>
      <c r="D544">
        <v>24</v>
      </c>
      <c r="E544">
        <v>732.66333329999998</v>
      </c>
      <c r="F544" t="e">
        <f>VLOOKUP(A544, BIOSIM_REF!$A:$E, 3, FALSE)</f>
        <v>#N/A</v>
      </c>
      <c r="G544" t="e">
        <f>VLOOKUP(A544, BIOSIM_REF!$A:$E, 4, FALSE)</f>
        <v>#N/A</v>
      </c>
      <c r="H544" t="e">
        <f>VLOOKUP(A544, BIOSIM_REF!$A:$E, 5, FALSE)</f>
        <v>#N/A</v>
      </c>
    </row>
    <row r="545" spans="1:8" hidden="1" x14ac:dyDescent="0.25">
      <c r="A545" s="1" t="s">
        <v>1120</v>
      </c>
      <c r="B545" t="s">
        <v>1147</v>
      </c>
      <c r="C545">
        <v>17491.8</v>
      </c>
      <c r="D545">
        <v>1615</v>
      </c>
      <c r="E545">
        <v>10.830835909999999</v>
      </c>
      <c r="F545" t="e">
        <f>VLOOKUP(A545, BIOSIM_REF!$A:$E, 3, FALSE)</f>
        <v>#N/A</v>
      </c>
      <c r="G545" t="e">
        <f>VLOOKUP(A545, BIOSIM_REF!$A:$E, 4, FALSE)</f>
        <v>#N/A</v>
      </c>
      <c r="H545" t="e">
        <f>VLOOKUP(A545, BIOSIM_REF!$A:$E, 5, FALSE)</f>
        <v>#N/A</v>
      </c>
    </row>
    <row r="546" spans="1:8" hidden="1" x14ac:dyDescent="0.25">
      <c r="A546" s="1" t="s">
        <v>1121</v>
      </c>
      <c r="B546" t="s">
        <v>1148</v>
      </c>
      <c r="C546">
        <v>16649.25</v>
      </c>
      <c r="D546">
        <v>626</v>
      </c>
      <c r="E546">
        <v>26.596246010000002</v>
      </c>
      <c r="F546" t="e">
        <f>VLOOKUP(A546, BIOSIM_REF!$A:$E, 3, FALSE)</f>
        <v>#N/A</v>
      </c>
      <c r="G546" t="e">
        <f>VLOOKUP(A546, BIOSIM_REF!$A:$E, 4, FALSE)</f>
        <v>#N/A</v>
      </c>
      <c r="H546" t="e">
        <f>VLOOKUP(A546, BIOSIM_REF!$A:$E, 5, FALSE)</f>
        <v>#N/A</v>
      </c>
    </row>
    <row r="547" spans="1:8" hidden="1" x14ac:dyDescent="0.25">
      <c r="A547" s="1" t="s">
        <v>1122</v>
      </c>
      <c r="B547" t="s">
        <v>1149</v>
      </c>
      <c r="C547">
        <v>16222.23</v>
      </c>
      <c r="D547">
        <v>1092</v>
      </c>
      <c r="E547">
        <v>14.855521980000001</v>
      </c>
      <c r="F547" t="e">
        <f>VLOOKUP(A547, BIOSIM_REF!$A:$E, 3, FALSE)</f>
        <v>#N/A</v>
      </c>
      <c r="G547" t="e">
        <f>VLOOKUP(A547, BIOSIM_REF!$A:$E, 4, FALSE)</f>
        <v>#N/A</v>
      </c>
      <c r="H547" t="e">
        <f>VLOOKUP(A547, BIOSIM_REF!$A:$E, 5, FALSE)</f>
        <v>#N/A</v>
      </c>
    </row>
    <row r="548" spans="1:8" hidden="1" x14ac:dyDescent="0.25">
      <c r="A548" s="1" t="s">
        <v>1123</v>
      </c>
      <c r="B548" t="s">
        <v>1150</v>
      </c>
      <c r="C548">
        <v>16206.34</v>
      </c>
      <c r="D548">
        <v>6527</v>
      </c>
      <c r="E548">
        <v>2.4829692049999998</v>
      </c>
      <c r="F548" t="e">
        <f>VLOOKUP(A548, BIOSIM_REF!$A:$E, 3, FALSE)</f>
        <v>#N/A</v>
      </c>
      <c r="G548" t="e">
        <f>VLOOKUP(A548, BIOSIM_REF!$A:$E, 4, FALSE)</f>
        <v>#N/A</v>
      </c>
      <c r="H548" t="e">
        <f>VLOOKUP(A548, BIOSIM_REF!$A:$E, 5, FALSE)</f>
        <v>#N/A</v>
      </c>
    </row>
    <row r="549" spans="1:8" hidden="1" x14ac:dyDescent="0.25">
      <c r="A549" s="1" t="s">
        <v>1124</v>
      </c>
      <c r="B549" t="s">
        <v>1151</v>
      </c>
      <c r="C549">
        <v>15925.32</v>
      </c>
      <c r="D549">
        <v>1570</v>
      </c>
      <c r="E549">
        <v>10.14351592</v>
      </c>
      <c r="F549" t="e">
        <f>VLOOKUP(A549, BIOSIM_REF!$A:$E, 3, FALSE)</f>
        <v>#N/A</v>
      </c>
      <c r="G549" t="e">
        <f>VLOOKUP(A549, BIOSIM_REF!$A:$E, 4, FALSE)</f>
        <v>#N/A</v>
      </c>
      <c r="H549" t="e">
        <f>VLOOKUP(A549, BIOSIM_REF!$A:$E, 5, FALSE)</f>
        <v>#N/A</v>
      </c>
    </row>
    <row r="550" spans="1:8" hidden="1" x14ac:dyDescent="0.25">
      <c r="A550" s="1" t="s">
        <v>1125</v>
      </c>
      <c r="B550" t="s">
        <v>1152</v>
      </c>
      <c r="C550">
        <v>14279.37</v>
      </c>
      <c r="D550">
        <v>472</v>
      </c>
      <c r="E550">
        <v>30.252902540000001</v>
      </c>
      <c r="F550" t="e">
        <f>VLOOKUP(A550, BIOSIM_REF!$A:$E, 3, FALSE)</f>
        <v>#N/A</v>
      </c>
      <c r="G550" t="e">
        <f>VLOOKUP(A550, BIOSIM_REF!$A:$E, 4, FALSE)</f>
        <v>#N/A</v>
      </c>
      <c r="H550" t="e">
        <f>VLOOKUP(A550, BIOSIM_REF!$A:$E, 5, FALSE)</f>
        <v>#N/A</v>
      </c>
    </row>
    <row r="551" spans="1:8" hidden="1" x14ac:dyDescent="0.25">
      <c r="A551" s="1" t="s">
        <v>1126</v>
      </c>
      <c r="B551" t="s">
        <v>1153</v>
      </c>
      <c r="C551">
        <v>14219.29</v>
      </c>
      <c r="D551">
        <v>525</v>
      </c>
      <c r="E551">
        <v>27.084361909999998</v>
      </c>
      <c r="F551" t="e">
        <f>VLOOKUP(A551, BIOSIM_REF!$A:$E, 3, FALSE)</f>
        <v>#N/A</v>
      </c>
      <c r="G551" t="e">
        <f>VLOOKUP(A551, BIOSIM_REF!$A:$E, 4, FALSE)</f>
        <v>#N/A</v>
      </c>
      <c r="H551" t="e">
        <f>VLOOKUP(A551, BIOSIM_REF!$A:$E, 5, FALSE)</f>
        <v>#N/A</v>
      </c>
    </row>
    <row r="552" spans="1:8" hidden="1" x14ac:dyDescent="0.25">
      <c r="A552" s="1" t="s">
        <v>1127</v>
      </c>
      <c r="B552" t="s">
        <v>1154</v>
      </c>
      <c r="C552">
        <v>14093.93</v>
      </c>
      <c r="D552">
        <v>87</v>
      </c>
      <c r="E552">
        <v>161.99919539999999</v>
      </c>
      <c r="F552" t="e">
        <f>VLOOKUP(A552, BIOSIM_REF!$A:$E, 3, FALSE)</f>
        <v>#N/A</v>
      </c>
      <c r="G552" t="e">
        <f>VLOOKUP(A552, BIOSIM_REF!$A:$E, 4, FALSE)</f>
        <v>#N/A</v>
      </c>
      <c r="H552" t="e">
        <f>VLOOKUP(A552, BIOSIM_REF!$A:$E, 5, FALSE)</f>
        <v>#N/A</v>
      </c>
    </row>
    <row r="553" spans="1:8" hidden="1" x14ac:dyDescent="0.25">
      <c r="A553" s="1" t="s">
        <v>1128</v>
      </c>
      <c r="B553" t="s">
        <v>1155</v>
      </c>
      <c r="C553">
        <v>14046.66</v>
      </c>
      <c r="D553">
        <v>686</v>
      </c>
      <c r="E553">
        <v>20.476180759999998</v>
      </c>
      <c r="F553" t="e">
        <f>VLOOKUP(A553, BIOSIM_REF!$A:$E, 3, FALSE)</f>
        <v>#N/A</v>
      </c>
      <c r="G553" t="e">
        <f>VLOOKUP(A553, BIOSIM_REF!$A:$E, 4, FALSE)</f>
        <v>#N/A</v>
      </c>
      <c r="H553" t="e">
        <f>VLOOKUP(A553, BIOSIM_REF!$A:$E, 5, FALSE)</f>
        <v>#N/A</v>
      </c>
    </row>
    <row r="554" spans="1:8" x14ac:dyDescent="0.25">
      <c r="A554" s="2" t="s">
        <v>1373</v>
      </c>
      <c r="B554" s="3" t="s">
        <v>1564</v>
      </c>
      <c r="C554" s="3">
        <v>11960083.07</v>
      </c>
      <c r="D554" s="3">
        <v>782</v>
      </c>
      <c r="E554" s="3">
        <v>15294.22388</v>
      </c>
      <c r="F554" s="3" t="str">
        <f>VLOOKUP(A554, BIOSIM_REF!$A:$E, 3, FALSE)</f>
        <v>N</v>
      </c>
      <c r="G554" s="3" t="str">
        <f>VLOOKUP(A554, BIOSIM_REF!$A:$E, 4, FALSE)</f>
        <v>RITUXAN</v>
      </c>
      <c r="H554" s="3" t="str">
        <f>VLOOKUP(A554, BIOSIM_REF!$A:$E, 5, FALSE)</f>
        <v>Y</v>
      </c>
    </row>
    <row r="555" spans="1:8" hidden="1" x14ac:dyDescent="0.25">
      <c r="A555" s="1">
        <v>90672</v>
      </c>
      <c r="B555" t="s">
        <v>1157</v>
      </c>
      <c r="C555">
        <v>13316.69</v>
      </c>
      <c r="D555">
        <v>346</v>
      </c>
      <c r="E555">
        <v>38.487543350000003</v>
      </c>
      <c r="F555" t="e">
        <f>VLOOKUP(A555, BIOSIM_REF!$A:$E, 3, FALSE)</f>
        <v>#N/A</v>
      </c>
      <c r="G555" t="e">
        <f>VLOOKUP(A555, BIOSIM_REF!$A:$E, 4, FALSE)</f>
        <v>#N/A</v>
      </c>
      <c r="H555" t="e">
        <f>VLOOKUP(A555, BIOSIM_REF!$A:$E, 5, FALSE)</f>
        <v>#N/A</v>
      </c>
    </row>
    <row r="556" spans="1:8" hidden="1" x14ac:dyDescent="0.25">
      <c r="A556" s="1" t="s">
        <v>1130</v>
      </c>
      <c r="B556" t="s">
        <v>1158</v>
      </c>
      <c r="C556">
        <v>13156.8</v>
      </c>
      <c r="D556">
        <v>726</v>
      </c>
      <c r="E556">
        <v>18.12231405</v>
      </c>
      <c r="F556" t="e">
        <f>VLOOKUP(A556, BIOSIM_REF!$A:$E, 3, FALSE)</f>
        <v>#N/A</v>
      </c>
      <c r="G556" t="e">
        <f>VLOOKUP(A556, BIOSIM_REF!$A:$E, 4, FALSE)</f>
        <v>#N/A</v>
      </c>
      <c r="H556" t="e">
        <f>VLOOKUP(A556, BIOSIM_REF!$A:$E, 5, FALSE)</f>
        <v>#N/A</v>
      </c>
    </row>
    <row r="557" spans="1:8" hidden="1" x14ac:dyDescent="0.25">
      <c r="A557" s="1" t="s">
        <v>1131</v>
      </c>
      <c r="B557" t="s">
        <v>1159</v>
      </c>
      <c r="C557">
        <v>13139.99</v>
      </c>
      <c r="D557">
        <v>1107</v>
      </c>
      <c r="E557">
        <v>11.86990967</v>
      </c>
      <c r="F557" t="e">
        <f>VLOOKUP(A557, BIOSIM_REF!$A:$E, 3, FALSE)</f>
        <v>#N/A</v>
      </c>
      <c r="G557" t="e">
        <f>VLOOKUP(A557, BIOSIM_REF!$A:$E, 4, FALSE)</f>
        <v>#N/A</v>
      </c>
      <c r="H557" t="e">
        <f>VLOOKUP(A557, BIOSIM_REF!$A:$E, 5, FALSE)</f>
        <v>#N/A</v>
      </c>
    </row>
    <row r="558" spans="1:8" hidden="1" x14ac:dyDescent="0.25">
      <c r="A558" s="1" t="s">
        <v>1132</v>
      </c>
      <c r="B558" t="s">
        <v>1160</v>
      </c>
      <c r="C558">
        <v>12893.59</v>
      </c>
      <c r="D558">
        <v>28</v>
      </c>
      <c r="E558">
        <v>460.48535709999999</v>
      </c>
      <c r="F558" t="e">
        <f>VLOOKUP(A558, BIOSIM_REF!$A:$E, 3, FALSE)</f>
        <v>#N/A</v>
      </c>
      <c r="G558" t="e">
        <f>VLOOKUP(A558, BIOSIM_REF!$A:$E, 4, FALSE)</f>
        <v>#N/A</v>
      </c>
      <c r="H558" t="e">
        <f>VLOOKUP(A558, BIOSIM_REF!$A:$E, 5, FALSE)</f>
        <v>#N/A</v>
      </c>
    </row>
    <row r="559" spans="1:8" hidden="1" x14ac:dyDescent="0.25">
      <c r="A559" s="1">
        <v>90687</v>
      </c>
      <c r="B559" t="s">
        <v>1161</v>
      </c>
      <c r="C559">
        <v>12164.48</v>
      </c>
      <c r="D559">
        <v>977</v>
      </c>
      <c r="E559">
        <v>12.45084954</v>
      </c>
      <c r="F559" t="e">
        <f>VLOOKUP(A559, BIOSIM_REF!$A:$E, 3, FALSE)</f>
        <v>#N/A</v>
      </c>
      <c r="G559" t="e">
        <f>VLOOKUP(A559, BIOSIM_REF!$A:$E, 4, FALSE)</f>
        <v>#N/A</v>
      </c>
      <c r="H559" t="e">
        <f>VLOOKUP(A559, BIOSIM_REF!$A:$E, 5, FALSE)</f>
        <v>#N/A</v>
      </c>
    </row>
    <row r="560" spans="1:8" hidden="1" x14ac:dyDescent="0.25">
      <c r="A560" s="1" t="s">
        <v>1133</v>
      </c>
      <c r="B560" t="s">
        <v>1162</v>
      </c>
      <c r="C560">
        <v>11369.74</v>
      </c>
      <c r="D560">
        <v>520</v>
      </c>
      <c r="E560">
        <v>21.864884620000002</v>
      </c>
      <c r="F560" t="e">
        <f>VLOOKUP(A560, BIOSIM_REF!$A:$E, 3, FALSE)</f>
        <v>#N/A</v>
      </c>
      <c r="G560" t="e">
        <f>VLOOKUP(A560, BIOSIM_REF!$A:$E, 4, FALSE)</f>
        <v>#N/A</v>
      </c>
      <c r="H560" t="e">
        <f>VLOOKUP(A560, BIOSIM_REF!$A:$E, 5, FALSE)</f>
        <v>#N/A</v>
      </c>
    </row>
    <row r="561" spans="1:8" hidden="1" x14ac:dyDescent="0.25">
      <c r="A561" s="1" t="s">
        <v>1134</v>
      </c>
      <c r="B561" t="s">
        <v>1163</v>
      </c>
      <c r="C561">
        <v>10921.1</v>
      </c>
      <c r="D561">
        <v>49</v>
      </c>
      <c r="E561">
        <v>222.87959179999999</v>
      </c>
      <c r="F561" t="e">
        <f>VLOOKUP(A561, BIOSIM_REF!$A:$E, 3, FALSE)</f>
        <v>#N/A</v>
      </c>
      <c r="G561" t="e">
        <f>VLOOKUP(A561, BIOSIM_REF!$A:$E, 4, FALSE)</f>
        <v>#N/A</v>
      </c>
      <c r="H561" t="e">
        <f>VLOOKUP(A561, BIOSIM_REF!$A:$E, 5, FALSE)</f>
        <v>#N/A</v>
      </c>
    </row>
    <row r="562" spans="1:8" hidden="1" x14ac:dyDescent="0.25">
      <c r="A562" s="1" t="s">
        <v>1135</v>
      </c>
      <c r="B562" t="s">
        <v>1164</v>
      </c>
      <c r="C562">
        <v>10128.799999999999</v>
      </c>
      <c r="D562">
        <v>38411</v>
      </c>
      <c r="E562">
        <v>0.26369529600000002</v>
      </c>
      <c r="F562" t="e">
        <f>VLOOKUP(A562, BIOSIM_REF!$A:$E, 3, FALSE)</f>
        <v>#N/A</v>
      </c>
      <c r="G562" t="e">
        <f>VLOOKUP(A562, BIOSIM_REF!$A:$E, 4, FALSE)</f>
        <v>#N/A</v>
      </c>
      <c r="H562" t="e">
        <f>VLOOKUP(A562, BIOSIM_REF!$A:$E, 5, FALSE)</f>
        <v>#N/A</v>
      </c>
    </row>
    <row r="563" spans="1:8" hidden="1" x14ac:dyDescent="0.25">
      <c r="A563" s="1" t="s">
        <v>1136</v>
      </c>
      <c r="B563" t="s">
        <v>1165</v>
      </c>
      <c r="C563">
        <v>10043.709999999999</v>
      </c>
      <c r="D563">
        <v>155</v>
      </c>
      <c r="E563">
        <v>64.798129029999998</v>
      </c>
      <c r="F563" t="e">
        <f>VLOOKUP(A563, BIOSIM_REF!$A:$E, 3, FALSE)</f>
        <v>#N/A</v>
      </c>
      <c r="G563" t="e">
        <f>VLOOKUP(A563, BIOSIM_REF!$A:$E, 4, FALSE)</f>
        <v>#N/A</v>
      </c>
      <c r="H563" t="e">
        <f>VLOOKUP(A563, BIOSIM_REF!$A:$E, 5, FALSE)</f>
        <v>#N/A</v>
      </c>
    </row>
    <row r="564" spans="1:8" hidden="1" x14ac:dyDescent="0.25">
      <c r="A564" s="1" t="s">
        <v>1137</v>
      </c>
      <c r="B564" t="s">
        <v>1166</v>
      </c>
      <c r="C564">
        <v>9646.83</v>
      </c>
      <c r="D564">
        <v>12</v>
      </c>
      <c r="E564">
        <v>803.90250000000003</v>
      </c>
      <c r="F564" t="e">
        <f>VLOOKUP(A564, BIOSIM_REF!$A:$E, 3, FALSE)</f>
        <v>#N/A</v>
      </c>
      <c r="G564" t="e">
        <f>VLOOKUP(A564, BIOSIM_REF!$A:$E, 4, FALSE)</f>
        <v>#N/A</v>
      </c>
      <c r="H564" t="e">
        <f>VLOOKUP(A564, BIOSIM_REF!$A:$E, 5, FALSE)</f>
        <v>#N/A</v>
      </c>
    </row>
    <row r="565" spans="1:8" hidden="1" x14ac:dyDescent="0.25">
      <c r="A565" s="1" t="s">
        <v>1138</v>
      </c>
      <c r="B565" t="s">
        <v>1167</v>
      </c>
      <c r="C565">
        <v>9350.48</v>
      </c>
      <c r="D565">
        <v>1069</v>
      </c>
      <c r="E565">
        <v>8.7469410659999998</v>
      </c>
      <c r="F565" t="e">
        <f>VLOOKUP(A565, BIOSIM_REF!$A:$E, 3, FALSE)</f>
        <v>#N/A</v>
      </c>
      <c r="G565" t="e">
        <f>VLOOKUP(A565, BIOSIM_REF!$A:$E, 4, FALSE)</f>
        <v>#N/A</v>
      </c>
      <c r="H565" t="e">
        <f>VLOOKUP(A565, BIOSIM_REF!$A:$E, 5, FALSE)</f>
        <v>#N/A</v>
      </c>
    </row>
    <row r="566" spans="1:8" hidden="1" x14ac:dyDescent="0.25">
      <c r="A566" s="1" t="s">
        <v>1139</v>
      </c>
      <c r="B566" t="s">
        <v>1168</v>
      </c>
      <c r="C566">
        <v>9132.66</v>
      </c>
      <c r="D566">
        <v>2283</v>
      </c>
      <c r="E566">
        <v>4.0002890930000001</v>
      </c>
      <c r="F566" t="e">
        <f>VLOOKUP(A566, BIOSIM_REF!$A:$E, 3, FALSE)</f>
        <v>#N/A</v>
      </c>
      <c r="G566" t="e">
        <f>VLOOKUP(A566, BIOSIM_REF!$A:$E, 4, FALSE)</f>
        <v>#N/A</v>
      </c>
      <c r="H566" t="e">
        <f>VLOOKUP(A566, BIOSIM_REF!$A:$E, 5, FALSE)</f>
        <v>#N/A</v>
      </c>
    </row>
    <row r="567" spans="1:8" hidden="1" x14ac:dyDescent="0.25">
      <c r="A567" s="1" t="s">
        <v>1140</v>
      </c>
      <c r="B567" t="s">
        <v>1169</v>
      </c>
      <c r="C567">
        <v>8901.6</v>
      </c>
      <c r="D567">
        <v>629</v>
      </c>
      <c r="E567">
        <v>14.15198728</v>
      </c>
      <c r="F567" t="e">
        <f>VLOOKUP(A567, BIOSIM_REF!$A:$E, 3, FALSE)</f>
        <v>#N/A</v>
      </c>
      <c r="G567" t="e">
        <f>VLOOKUP(A567, BIOSIM_REF!$A:$E, 4, FALSE)</f>
        <v>#N/A</v>
      </c>
      <c r="H567" t="e">
        <f>VLOOKUP(A567, BIOSIM_REF!$A:$E, 5, FALSE)</f>
        <v>#N/A</v>
      </c>
    </row>
    <row r="568" spans="1:8" hidden="1" x14ac:dyDescent="0.25">
      <c r="A568" s="1" t="s">
        <v>1141</v>
      </c>
      <c r="B568" t="s">
        <v>1170</v>
      </c>
      <c r="C568">
        <v>8710.75</v>
      </c>
      <c r="D568">
        <v>124</v>
      </c>
      <c r="E568">
        <v>70.247983869999999</v>
      </c>
      <c r="F568" t="e">
        <f>VLOOKUP(A568, BIOSIM_REF!$A:$E, 3, FALSE)</f>
        <v>#N/A</v>
      </c>
      <c r="G568" t="e">
        <f>VLOOKUP(A568, BIOSIM_REF!$A:$E, 4, FALSE)</f>
        <v>#N/A</v>
      </c>
      <c r="H568" t="e">
        <f>VLOOKUP(A568, BIOSIM_REF!$A:$E, 5, FALSE)</f>
        <v>#N/A</v>
      </c>
    </row>
    <row r="569" spans="1:8" hidden="1" x14ac:dyDescent="0.25">
      <c r="A569" s="1" t="s">
        <v>1142</v>
      </c>
      <c r="B569" t="s">
        <v>1171</v>
      </c>
      <c r="C569">
        <v>8453.1200000000008</v>
      </c>
      <c r="D569">
        <v>120</v>
      </c>
      <c r="E569">
        <v>70.442666669999994</v>
      </c>
      <c r="F569" t="e">
        <f>VLOOKUP(A569, BIOSIM_REF!$A:$E, 3, FALSE)</f>
        <v>#N/A</v>
      </c>
      <c r="G569" t="e">
        <f>VLOOKUP(A569, BIOSIM_REF!$A:$E, 4, FALSE)</f>
        <v>#N/A</v>
      </c>
      <c r="H569" t="e">
        <f>VLOOKUP(A569, BIOSIM_REF!$A:$E, 5, FALSE)</f>
        <v>#N/A</v>
      </c>
    </row>
    <row r="570" spans="1:8" hidden="1" x14ac:dyDescent="0.25">
      <c r="A570" s="1" t="s">
        <v>1143</v>
      </c>
      <c r="B570" t="s">
        <v>1172</v>
      </c>
      <c r="C570">
        <v>8401.6</v>
      </c>
      <c r="D570">
        <v>26</v>
      </c>
      <c r="E570">
        <v>323.13846150000001</v>
      </c>
      <c r="F570" t="e">
        <f>VLOOKUP(A570, BIOSIM_REF!$A:$E, 3, FALSE)</f>
        <v>#N/A</v>
      </c>
      <c r="G570" t="e">
        <f>VLOOKUP(A570, BIOSIM_REF!$A:$E, 4, FALSE)</f>
        <v>#N/A</v>
      </c>
      <c r="H570" t="e">
        <f>VLOOKUP(A570, BIOSIM_REF!$A:$E, 5, FALSE)</f>
        <v>#N/A</v>
      </c>
    </row>
    <row r="571" spans="1:8" hidden="1" x14ac:dyDescent="0.25">
      <c r="A571" s="1" t="s">
        <v>1494</v>
      </c>
      <c r="B571" t="s">
        <v>1628</v>
      </c>
      <c r="C571">
        <v>8379.7000000000007</v>
      </c>
      <c r="D571">
        <v>25</v>
      </c>
      <c r="E571">
        <v>335.18799999999999</v>
      </c>
      <c r="F571" t="e">
        <f>VLOOKUP(A571, BIOSIM_REF!$A:$E, 3, FALSE)</f>
        <v>#N/A</v>
      </c>
      <c r="G571" t="e">
        <f>VLOOKUP(A571, BIOSIM_REF!$A:$E, 4, FALSE)</f>
        <v>#N/A</v>
      </c>
      <c r="H571" t="e">
        <f>VLOOKUP(A571, BIOSIM_REF!$A:$E, 5, FALSE)</f>
        <v>#N/A</v>
      </c>
    </row>
    <row r="572" spans="1:8" hidden="1" x14ac:dyDescent="0.25">
      <c r="A572" s="1" t="s">
        <v>1192</v>
      </c>
      <c r="B572" t="s">
        <v>1207</v>
      </c>
      <c r="C572">
        <v>8270.15</v>
      </c>
      <c r="D572">
        <v>200</v>
      </c>
      <c r="E572">
        <v>41.350749999999998</v>
      </c>
      <c r="F572" t="e">
        <f>VLOOKUP(A572, BIOSIM_REF!$A:$E, 3, FALSE)</f>
        <v>#N/A</v>
      </c>
      <c r="G572" t="e">
        <f>VLOOKUP(A572, BIOSIM_REF!$A:$E, 4, FALSE)</f>
        <v>#N/A</v>
      </c>
      <c r="H572" t="e">
        <f>VLOOKUP(A572, BIOSIM_REF!$A:$E, 5, FALSE)</f>
        <v>#N/A</v>
      </c>
    </row>
    <row r="573" spans="1:8" hidden="1" x14ac:dyDescent="0.25">
      <c r="A573" s="1" t="s">
        <v>1193</v>
      </c>
      <c r="B573" t="s">
        <v>1208</v>
      </c>
      <c r="C573">
        <v>8193.7900000000009</v>
      </c>
      <c r="D573">
        <v>802</v>
      </c>
      <c r="E573">
        <v>10.21669576</v>
      </c>
      <c r="F573" t="e">
        <f>VLOOKUP(A573, BIOSIM_REF!$A:$E, 3, FALSE)</f>
        <v>#N/A</v>
      </c>
      <c r="G573" t="e">
        <f>VLOOKUP(A573, BIOSIM_REF!$A:$E, 4, FALSE)</f>
        <v>#N/A</v>
      </c>
      <c r="H573" t="e">
        <f>VLOOKUP(A573, BIOSIM_REF!$A:$E, 5, FALSE)</f>
        <v>#N/A</v>
      </c>
    </row>
    <row r="574" spans="1:8" hidden="1" x14ac:dyDescent="0.25">
      <c r="A574" s="1" t="s">
        <v>1194</v>
      </c>
      <c r="B574" t="s">
        <v>1209</v>
      </c>
      <c r="C574">
        <v>8047.41</v>
      </c>
      <c r="D574">
        <v>573</v>
      </c>
      <c r="E574">
        <v>14.044345549999999</v>
      </c>
      <c r="F574" t="e">
        <f>VLOOKUP(A574, BIOSIM_REF!$A:$E, 3, FALSE)</f>
        <v>#N/A</v>
      </c>
      <c r="G574" t="e">
        <f>VLOOKUP(A574, BIOSIM_REF!$A:$E, 4, FALSE)</f>
        <v>#N/A</v>
      </c>
      <c r="H574" t="e">
        <f>VLOOKUP(A574, BIOSIM_REF!$A:$E, 5, FALSE)</f>
        <v>#N/A</v>
      </c>
    </row>
    <row r="575" spans="1:8" hidden="1" x14ac:dyDescent="0.25">
      <c r="A575" s="1" t="s">
        <v>1195</v>
      </c>
      <c r="B575" t="s">
        <v>1210</v>
      </c>
      <c r="C575">
        <v>7732.62</v>
      </c>
      <c r="D575">
        <v>1182</v>
      </c>
      <c r="E575">
        <v>6.5419796950000002</v>
      </c>
      <c r="F575" t="e">
        <f>VLOOKUP(A575, BIOSIM_REF!$A:$E, 3, FALSE)</f>
        <v>#N/A</v>
      </c>
      <c r="G575" t="e">
        <f>VLOOKUP(A575, BIOSIM_REF!$A:$E, 4, FALSE)</f>
        <v>#N/A</v>
      </c>
      <c r="H575" t="e">
        <f>VLOOKUP(A575, BIOSIM_REF!$A:$E, 5, FALSE)</f>
        <v>#N/A</v>
      </c>
    </row>
    <row r="576" spans="1:8" hidden="1" x14ac:dyDescent="0.25">
      <c r="A576" s="1" t="s">
        <v>1196</v>
      </c>
      <c r="B576" t="s">
        <v>1211</v>
      </c>
      <c r="C576">
        <v>7530.66</v>
      </c>
      <c r="D576">
        <v>64</v>
      </c>
      <c r="E576">
        <v>117.6665625</v>
      </c>
      <c r="F576" t="e">
        <f>VLOOKUP(A576, BIOSIM_REF!$A:$E, 3, FALSE)</f>
        <v>#N/A</v>
      </c>
      <c r="G576" t="e">
        <f>VLOOKUP(A576, BIOSIM_REF!$A:$E, 4, FALSE)</f>
        <v>#N/A</v>
      </c>
      <c r="H576" t="e">
        <f>VLOOKUP(A576, BIOSIM_REF!$A:$E, 5, FALSE)</f>
        <v>#N/A</v>
      </c>
    </row>
    <row r="577" spans="1:8" hidden="1" x14ac:dyDescent="0.25">
      <c r="A577" s="1" t="s">
        <v>1197</v>
      </c>
      <c r="B577" t="s">
        <v>1212</v>
      </c>
      <c r="C577">
        <v>7341.47</v>
      </c>
      <c r="D577">
        <v>190</v>
      </c>
      <c r="E577">
        <v>38.639315789999998</v>
      </c>
      <c r="F577" t="e">
        <f>VLOOKUP(A577, BIOSIM_REF!$A:$E, 3, FALSE)</f>
        <v>#N/A</v>
      </c>
      <c r="G577" t="e">
        <f>VLOOKUP(A577, BIOSIM_REF!$A:$E, 4, FALSE)</f>
        <v>#N/A</v>
      </c>
      <c r="H577" t="e">
        <f>VLOOKUP(A577, BIOSIM_REF!$A:$E, 5, FALSE)</f>
        <v>#N/A</v>
      </c>
    </row>
    <row r="578" spans="1:8" hidden="1" x14ac:dyDescent="0.25">
      <c r="A578" s="1" t="s">
        <v>1198</v>
      </c>
      <c r="B578" t="s">
        <v>1213</v>
      </c>
      <c r="C578">
        <v>7250.86</v>
      </c>
      <c r="D578">
        <v>334</v>
      </c>
      <c r="E578">
        <v>21.709161680000001</v>
      </c>
      <c r="F578" t="e">
        <f>VLOOKUP(A578, BIOSIM_REF!$A:$E, 3, FALSE)</f>
        <v>#N/A</v>
      </c>
      <c r="G578" t="e">
        <f>VLOOKUP(A578, BIOSIM_REF!$A:$E, 4, FALSE)</f>
        <v>#N/A</v>
      </c>
      <c r="H578" t="e">
        <f>VLOOKUP(A578, BIOSIM_REF!$A:$E, 5, FALSE)</f>
        <v>#N/A</v>
      </c>
    </row>
    <row r="579" spans="1:8" hidden="1" x14ac:dyDescent="0.25">
      <c r="A579" s="1" t="s">
        <v>1199</v>
      </c>
      <c r="B579" t="s">
        <v>1214</v>
      </c>
      <c r="C579">
        <v>7109.33</v>
      </c>
      <c r="D579">
        <v>44</v>
      </c>
      <c r="E579">
        <v>161.57568180000001</v>
      </c>
      <c r="F579" t="e">
        <f>VLOOKUP(A579, BIOSIM_REF!$A:$E, 3, FALSE)</f>
        <v>#N/A</v>
      </c>
      <c r="G579" t="e">
        <f>VLOOKUP(A579, BIOSIM_REF!$A:$E, 4, FALSE)</f>
        <v>#N/A</v>
      </c>
      <c r="H579" t="e">
        <f>VLOOKUP(A579, BIOSIM_REF!$A:$E, 5, FALSE)</f>
        <v>#N/A</v>
      </c>
    </row>
    <row r="580" spans="1:8" hidden="1" x14ac:dyDescent="0.25">
      <c r="A580" s="1" t="s">
        <v>1200</v>
      </c>
      <c r="B580" t="s">
        <v>1215</v>
      </c>
      <c r="C580">
        <v>7106.01</v>
      </c>
      <c r="D580">
        <v>16</v>
      </c>
      <c r="E580">
        <v>444.12562500000001</v>
      </c>
      <c r="F580" t="e">
        <f>VLOOKUP(A580, BIOSIM_REF!$A:$E, 3, FALSE)</f>
        <v>#N/A</v>
      </c>
      <c r="G580" t="e">
        <f>VLOOKUP(A580, BIOSIM_REF!$A:$E, 4, FALSE)</f>
        <v>#N/A</v>
      </c>
      <c r="H580" t="e">
        <f>VLOOKUP(A580, BIOSIM_REF!$A:$E, 5, FALSE)</f>
        <v>#N/A</v>
      </c>
    </row>
    <row r="581" spans="1:8" hidden="1" x14ac:dyDescent="0.25">
      <c r="A581" s="1" t="s">
        <v>1201</v>
      </c>
      <c r="B581" t="s">
        <v>1216</v>
      </c>
      <c r="C581">
        <v>6961</v>
      </c>
      <c r="D581">
        <v>1207</v>
      </c>
      <c r="E581">
        <v>5.7671913840000002</v>
      </c>
      <c r="F581" t="e">
        <f>VLOOKUP(A581, BIOSIM_REF!$A:$E, 3, FALSE)</f>
        <v>#N/A</v>
      </c>
      <c r="G581" t="e">
        <f>VLOOKUP(A581, BIOSIM_REF!$A:$E, 4, FALSE)</f>
        <v>#N/A</v>
      </c>
      <c r="H581" t="e">
        <f>VLOOKUP(A581, BIOSIM_REF!$A:$E, 5, FALSE)</f>
        <v>#N/A</v>
      </c>
    </row>
    <row r="582" spans="1:8" hidden="1" x14ac:dyDescent="0.25">
      <c r="A582" s="1" t="s">
        <v>1202</v>
      </c>
      <c r="B582" t="s">
        <v>1217</v>
      </c>
      <c r="C582">
        <v>6576.52</v>
      </c>
      <c r="D582">
        <v>2191</v>
      </c>
      <c r="E582">
        <v>3.001606572</v>
      </c>
      <c r="F582" t="e">
        <f>VLOOKUP(A582, BIOSIM_REF!$A:$E, 3, FALSE)</f>
        <v>#N/A</v>
      </c>
      <c r="G582" t="e">
        <f>VLOOKUP(A582, BIOSIM_REF!$A:$E, 4, FALSE)</f>
        <v>#N/A</v>
      </c>
      <c r="H582" t="e">
        <f>VLOOKUP(A582, BIOSIM_REF!$A:$E, 5, FALSE)</f>
        <v>#N/A</v>
      </c>
    </row>
    <row r="583" spans="1:8" hidden="1" x14ac:dyDescent="0.25">
      <c r="A583" s="1" t="s">
        <v>1203</v>
      </c>
      <c r="B583" t="s">
        <v>1218</v>
      </c>
      <c r="C583">
        <v>6545.27</v>
      </c>
      <c r="D583">
        <v>50</v>
      </c>
      <c r="E583">
        <v>130.90539999999999</v>
      </c>
      <c r="F583" t="e">
        <f>VLOOKUP(A583, BIOSIM_REF!$A:$E, 3, FALSE)</f>
        <v>#N/A</v>
      </c>
      <c r="G583" t="e">
        <f>VLOOKUP(A583, BIOSIM_REF!$A:$E, 4, FALSE)</f>
        <v>#N/A</v>
      </c>
      <c r="H583" t="e">
        <f>VLOOKUP(A583, BIOSIM_REF!$A:$E, 5, FALSE)</f>
        <v>#N/A</v>
      </c>
    </row>
    <row r="584" spans="1:8" hidden="1" x14ac:dyDescent="0.25">
      <c r="A584" s="1">
        <v>90632</v>
      </c>
      <c r="B584" t="s">
        <v>1219</v>
      </c>
      <c r="C584">
        <v>6230.07</v>
      </c>
      <c r="D584">
        <v>88</v>
      </c>
      <c r="E584">
        <v>70.796250000000001</v>
      </c>
      <c r="F584" t="e">
        <f>VLOOKUP(A584, BIOSIM_REF!$A:$E, 3, FALSE)</f>
        <v>#N/A</v>
      </c>
      <c r="G584" t="e">
        <f>VLOOKUP(A584, BIOSIM_REF!$A:$E, 4, FALSE)</f>
        <v>#N/A</v>
      </c>
      <c r="H584" t="e">
        <f>VLOOKUP(A584, BIOSIM_REF!$A:$E, 5, FALSE)</f>
        <v>#N/A</v>
      </c>
    </row>
    <row r="585" spans="1:8" hidden="1" x14ac:dyDescent="0.25">
      <c r="A585" s="1" t="s">
        <v>1204</v>
      </c>
      <c r="B585" t="s">
        <v>1220</v>
      </c>
      <c r="C585">
        <v>6124.05</v>
      </c>
      <c r="D585">
        <v>13</v>
      </c>
      <c r="E585">
        <v>471.08076920000002</v>
      </c>
      <c r="F585" t="e">
        <f>VLOOKUP(A585, BIOSIM_REF!$A:$E, 3, FALSE)</f>
        <v>#N/A</v>
      </c>
      <c r="G585" t="e">
        <f>VLOOKUP(A585, BIOSIM_REF!$A:$E, 4, FALSE)</f>
        <v>#N/A</v>
      </c>
      <c r="H585" t="e">
        <f>VLOOKUP(A585, BIOSIM_REF!$A:$E, 5, FALSE)</f>
        <v>#N/A</v>
      </c>
    </row>
    <row r="586" spans="1:8" hidden="1" x14ac:dyDescent="0.25">
      <c r="A586" s="1" t="s">
        <v>1205</v>
      </c>
      <c r="B586" t="s">
        <v>1221</v>
      </c>
      <c r="C586">
        <v>5948.05</v>
      </c>
      <c r="D586">
        <v>672</v>
      </c>
      <c r="E586">
        <v>8.8512648810000005</v>
      </c>
      <c r="F586" t="e">
        <f>VLOOKUP(A586, BIOSIM_REF!$A:$E, 3, FALSE)</f>
        <v>#N/A</v>
      </c>
      <c r="G586" t="e">
        <f>VLOOKUP(A586, BIOSIM_REF!$A:$E, 4, FALSE)</f>
        <v>#N/A</v>
      </c>
      <c r="H586" t="e">
        <f>VLOOKUP(A586, BIOSIM_REF!$A:$E, 5, FALSE)</f>
        <v>#N/A</v>
      </c>
    </row>
    <row r="587" spans="1:8" hidden="1" x14ac:dyDescent="0.25">
      <c r="A587" s="1" t="s">
        <v>1206</v>
      </c>
      <c r="B587" t="s">
        <v>1222</v>
      </c>
      <c r="C587">
        <v>5557.67</v>
      </c>
      <c r="D587">
        <v>409</v>
      </c>
      <c r="E587">
        <v>13.58843521</v>
      </c>
      <c r="F587" t="e">
        <f>VLOOKUP(A587, BIOSIM_REF!$A:$E, 3, FALSE)</f>
        <v>#N/A</v>
      </c>
      <c r="G587" t="e">
        <f>VLOOKUP(A587, BIOSIM_REF!$A:$E, 4, FALSE)</f>
        <v>#N/A</v>
      </c>
      <c r="H587" t="e">
        <f>VLOOKUP(A587, BIOSIM_REF!$A:$E, 5, FALSE)</f>
        <v>#N/A</v>
      </c>
    </row>
    <row r="588" spans="1:8" hidden="1" x14ac:dyDescent="0.25">
      <c r="A588" s="1" t="s">
        <v>1495</v>
      </c>
      <c r="B588" t="s">
        <v>1629</v>
      </c>
      <c r="C588">
        <v>5480.66</v>
      </c>
      <c r="F588" t="e">
        <f>VLOOKUP(A588, BIOSIM_REF!$A:$E, 3, FALSE)</f>
        <v>#N/A</v>
      </c>
      <c r="G588" t="e">
        <f>VLOOKUP(A588, BIOSIM_REF!$A:$E, 4, FALSE)</f>
        <v>#N/A</v>
      </c>
      <c r="H588" t="e">
        <f>VLOOKUP(A588, BIOSIM_REF!$A:$E, 5, FALSE)</f>
        <v>#N/A</v>
      </c>
    </row>
    <row r="589" spans="1:8" hidden="1" x14ac:dyDescent="0.25">
      <c r="A589" s="1" t="s">
        <v>1227</v>
      </c>
      <c r="B589" t="s">
        <v>1229</v>
      </c>
      <c r="C589">
        <v>4948.58</v>
      </c>
      <c r="D589">
        <v>252</v>
      </c>
      <c r="E589">
        <v>19.637222220000002</v>
      </c>
      <c r="F589" t="e">
        <f>VLOOKUP(A589, BIOSIM_REF!$A:$E, 3, FALSE)</f>
        <v>#N/A</v>
      </c>
      <c r="G589" t="e">
        <f>VLOOKUP(A589, BIOSIM_REF!$A:$E, 4, FALSE)</f>
        <v>#N/A</v>
      </c>
      <c r="H589" t="e">
        <f>VLOOKUP(A589, BIOSIM_REF!$A:$E, 5, FALSE)</f>
        <v>#N/A</v>
      </c>
    </row>
    <row r="590" spans="1:8" hidden="1" x14ac:dyDescent="0.25">
      <c r="A590" s="1" t="s">
        <v>1228</v>
      </c>
      <c r="B590" t="s">
        <v>1230</v>
      </c>
      <c r="C590">
        <v>3959.94</v>
      </c>
      <c r="D590">
        <v>15</v>
      </c>
      <c r="E590">
        <v>263.99599999999998</v>
      </c>
      <c r="F590" t="e">
        <f>VLOOKUP(A590, BIOSIM_REF!$A:$E, 3, FALSE)</f>
        <v>#N/A</v>
      </c>
      <c r="G590" t="e">
        <f>VLOOKUP(A590, BIOSIM_REF!$A:$E, 4, FALSE)</f>
        <v>#N/A</v>
      </c>
      <c r="H590" t="e">
        <f>VLOOKUP(A590, BIOSIM_REF!$A:$E, 5, FALSE)</f>
        <v>#N/A</v>
      </c>
    </row>
    <row r="591" spans="1:8" hidden="1" x14ac:dyDescent="0.25">
      <c r="A591" s="1" t="s">
        <v>1496</v>
      </c>
      <c r="B591" t="s">
        <v>1630</v>
      </c>
      <c r="C591">
        <v>3912.7</v>
      </c>
      <c r="D591">
        <v>33</v>
      </c>
      <c r="E591">
        <v>118.5666667</v>
      </c>
      <c r="F591" t="e">
        <f>VLOOKUP(A591, BIOSIM_REF!$A:$E, 3, FALSE)</f>
        <v>#N/A</v>
      </c>
      <c r="G591" t="e">
        <f>VLOOKUP(A591, BIOSIM_REF!$A:$E, 4, FALSE)</f>
        <v>#N/A</v>
      </c>
      <c r="H591" t="e">
        <f>VLOOKUP(A591, BIOSIM_REF!$A:$E, 5, FALSE)</f>
        <v>#N/A</v>
      </c>
    </row>
    <row r="592" spans="1:8" hidden="1" x14ac:dyDescent="0.25">
      <c r="A592" s="1" t="s">
        <v>1231</v>
      </c>
      <c r="B592" t="s">
        <v>1257</v>
      </c>
      <c r="C592">
        <v>3657.93</v>
      </c>
      <c r="D592">
        <v>45</v>
      </c>
      <c r="E592">
        <v>81.287333329999996</v>
      </c>
      <c r="F592" t="e">
        <f>VLOOKUP(A592, BIOSIM_REF!$A:$E, 3, FALSE)</f>
        <v>#N/A</v>
      </c>
      <c r="G592" t="e">
        <f>VLOOKUP(A592, BIOSIM_REF!$A:$E, 4, FALSE)</f>
        <v>#N/A</v>
      </c>
      <c r="H592" t="e">
        <f>VLOOKUP(A592, BIOSIM_REF!$A:$E, 5, FALSE)</f>
        <v>#N/A</v>
      </c>
    </row>
    <row r="593" spans="1:8" hidden="1" x14ac:dyDescent="0.25">
      <c r="A593" s="1" t="s">
        <v>1232</v>
      </c>
      <c r="B593" t="s">
        <v>1258</v>
      </c>
      <c r="C593">
        <v>3403.91</v>
      </c>
      <c r="D593">
        <v>15</v>
      </c>
      <c r="E593">
        <v>226.92733329999999</v>
      </c>
      <c r="F593" t="e">
        <f>VLOOKUP(A593, BIOSIM_REF!$A:$E, 3, FALSE)</f>
        <v>#N/A</v>
      </c>
      <c r="G593" t="e">
        <f>VLOOKUP(A593, BIOSIM_REF!$A:$E, 4, FALSE)</f>
        <v>#N/A</v>
      </c>
      <c r="H593" t="e">
        <f>VLOOKUP(A593, BIOSIM_REF!$A:$E, 5, FALSE)</f>
        <v>#N/A</v>
      </c>
    </row>
    <row r="594" spans="1:8" hidden="1" x14ac:dyDescent="0.25">
      <c r="A594" s="1" t="s">
        <v>1233</v>
      </c>
      <c r="B594" t="s">
        <v>1259</v>
      </c>
      <c r="C594">
        <v>3351.55</v>
      </c>
      <c r="D594">
        <v>47</v>
      </c>
      <c r="E594">
        <v>71.309574470000001</v>
      </c>
      <c r="F594" t="e">
        <f>VLOOKUP(A594, BIOSIM_REF!$A:$E, 3, FALSE)</f>
        <v>#N/A</v>
      </c>
      <c r="G594" t="e">
        <f>VLOOKUP(A594, BIOSIM_REF!$A:$E, 4, FALSE)</f>
        <v>#N/A</v>
      </c>
      <c r="H594" t="e">
        <f>VLOOKUP(A594, BIOSIM_REF!$A:$E, 5, FALSE)</f>
        <v>#N/A</v>
      </c>
    </row>
    <row r="595" spans="1:8" hidden="1" x14ac:dyDescent="0.25">
      <c r="A595" s="1" t="s">
        <v>1234</v>
      </c>
      <c r="B595" t="s">
        <v>1260</v>
      </c>
      <c r="C595">
        <v>2887.77</v>
      </c>
      <c r="D595">
        <v>725</v>
      </c>
      <c r="E595">
        <v>3.983131035</v>
      </c>
      <c r="F595" t="e">
        <f>VLOOKUP(A595, BIOSIM_REF!$A:$E, 3, FALSE)</f>
        <v>#N/A</v>
      </c>
      <c r="G595" t="e">
        <f>VLOOKUP(A595, BIOSIM_REF!$A:$E, 4, FALSE)</f>
        <v>#N/A</v>
      </c>
      <c r="H595" t="e">
        <f>VLOOKUP(A595, BIOSIM_REF!$A:$E, 5, FALSE)</f>
        <v>#N/A</v>
      </c>
    </row>
    <row r="596" spans="1:8" hidden="1" x14ac:dyDescent="0.25">
      <c r="A596" s="1" t="s">
        <v>1235</v>
      </c>
      <c r="B596" t="s">
        <v>1261</v>
      </c>
      <c r="C596">
        <v>2866.96</v>
      </c>
      <c r="D596">
        <v>69</v>
      </c>
      <c r="E596">
        <v>41.550144930000002</v>
      </c>
      <c r="F596" t="e">
        <f>VLOOKUP(A596, BIOSIM_REF!$A:$E, 3, FALSE)</f>
        <v>#N/A</v>
      </c>
      <c r="G596" t="e">
        <f>VLOOKUP(A596, BIOSIM_REF!$A:$E, 4, FALSE)</f>
        <v>#N/A</v>
      </c>
      <c r="H596" t="e">
        <f>VLOOKUP(A596, BIOSIM_REF!$A:$E, 5, FALSE)</f>
        <v>#N/A</v>
      </c>
    </row>
    <row r="597" spans="1:8" hidden="1" x14ac:dyDescent="0.25">
      <c r="A597" s="1" t="s">
        <v>1236</v>
      </c>
      <c r="B597" t="s">
        <v>1262</v>
      </c>
      <c r="C597">
        <v>2716.04</v>
      </c>
      <c r="D597">
        <v>91</v>
      </c>
      <c r="E597">
        <v>29.846593410000001</v>
      </c>
      <c r="F597" t="e">
        <f>VLOOKUP(A597, BIOSIM_REF!$A:$E, 3, FALSE)</f>
        <v>#N/A</v>
      </c>
      <c r="G597" t="e">
        <f>VLOOKUP(A597, BIOSIM_REF!$A:$E, 4, FALSE)</f>
        <v>#N/A</v>
      </c>
      <c r="H597" t="e">
        <f>VLOOKUP(A597, BIOSIM_REF!$A:$E, 5, FALSE)</f>
        <v>#N/A</v>
      </c>
    </row>
    <row r="598" spans="1:8" hidden="1" x14ac:dyDescent="0.25">
      <c r="A598" s="1" t="s">
        <v>1237</v>
      </c>
      <c r="B598" t="s">
        <v>243</v>
      </c>
      <c r="C598">
        <v>2307.4899999999998</v>
      </c>
      <c r="D598">
        <v>96</v>
      </c>
      <c r="E598">
        <v>24.036354169999999</v>
      </c>
      <c r="F598" t="e">
        <f>VLOOKUP(A598, BIOSIM_REF!$A:$E, 3, FALSE)</f>
        <v>#N/A</v>
      </c>
      <c r="G598" t="e">
        <f>VLOOKUP(A598, BIOSIM_REF!$A:$E, 4, FALSE)</f>
        <v>#N/A</v>
      </c>
      <c r="H598" t="e">
        <f>VLOOKUP(A598, BIOSIM_REF!$A:$E, 5, FALSE)</f>
        <v>#N/A</v>
      </c>
    </row>
    <row r="599" spans="1:8" hidden="1" x14ac:dyDescent="0.25">
      <c r="A599" s="1" t="s">
        <v>1238</v>
      </c>
      <c r="B599" t="s">
        <v>1263</v>
      </c>
      <c r="C599">
        <v>2098.29</v>
      </c>
      <c r="D599">
        <v>157</v>
      </c>
      <c r="E599">
        <v>13.36490446</v>
      </c>
      <c r="F599" t="e">
        <f>VLOOKUP(A599, BIOSIM_REF!$A:$E, 3, FALSE)</f>
        <v>#N/A</v>
      </c>
      <c r="G599" t="e">
        <f>VLOOKUP(A599, BIOSIM_REF!$A:$E, 4, FALSE)</f>
        <v>#N/A</v>
      </c>
      <c r="H599" t="e">
        <f>VLOOKUP(A599, BIOSIM_REF!$A:$E, 5, FALSE)</f>
        <v>#N/A</v>
      </c>
    </row>
    <row r="600" spans="1:8" hidden="1" x14ac:dyDescent="0.25">
      <c r="A600" s="1" t="s">
        <v>1239</v>
      </c>
      <c r="B600" t="s">
        <v>1264</v>
      </c>
      <c r="C600">
        <v>2085.88</v>
      </c>
      <c r="D600">
        <v>21</v>
      </c>
      <c r="E600">
        <v>99.327619049999996</v>
      </c>
      <c r="F600" t="e">
        <f>VLOOKUP(A600, BIOSIM_REF!$A:$E, 3, FALSE)</f>
        <v>#N/A</v>
      </c>
      <c r="G600" t="e">
        <f>VLOOKUP(A600, BIOSIM_REF!$A:$E, 4, FALSE)</f>
        <v>#N/A</v>
      </c>
      <c r="H600" t="e">
        <f>VLOOKUP(A600, BIOSIM_REF!$A:$E, 5, FALSE)</f>
        <v>#N/A</v>
      </c>
    </row>
    <row r="601" spans="1:8" hidden="1" x14ac:dyDescent="0.25">
      <c r="A601" s="1" t="s">
        <v>1240</v>
      </c>
      <c r="B601" t="s">
        <v>1265</v>
      </c>
      <c r="C601">
        <v>1915.76</v>
      </c>
      <c r="D601">
        <v>16</v>
      </c>
      <c r="E601">
        <v>119.735</v>
      </c>
      <c r="F601" t="e">
        <f>VLOOKUP(A601, BIOSIM_REF!$A:$E, 3, FALSE)</f>
        <v>#N/A</v>
      </c>
      <c r="G601" t="e">
        <f>VLOOKUP(A601, BIOSIM_REF!$A:$E, 4, FALSE)</f>
        <v>#N/A</v>
      </c>
      <c r="H601" t="e">
        <f>VLOOKUP(A601, BIOSIM_REF!$A:$E, 5, FALSE)</f>
        <v>#N/A</v>
      </c>
    </row>
    <row r="602" spans="1:8" hidden="1" x14ac:dyDescent="0.25">
      <c r="A602" s="1" t="s">
        <v>1241</v>
      </c>
      <c r="B602" t="s">
        <v>1266</v>
      </c>
      <c r="C602">
        <v>1618.06</v>
      </c>
      <c r="D602">
        <v>324</v>
      </c>
      <c r="E602">
        <v>4.9940123459999999</v>
      </c>
      <c r="F602" t="e">
        <f>VLOOKUP(A602, BIOSIM_REF!$A:$E, 3, FALSE)</f>
        <v>#N/A</v>
      </c>
      <c r="G602" t="e">
        <f>VLOOKUP(A602, BIOSIM_REF!$A:$E, 4, FALSE)</f>
        <v>#N/A</v>
      </c>
      <c r="H602" t="e">
        <f>VLOOKUP(A602, BIOSIM_REF!$A:$E, 5, FALSE)</f>
        <v>#N/A</v>
      </c>
    </row>
    <row r="603" spans="1:8" hidden="1" x14ac:dyDescent="0.25">
      <c r="A603" s="1" t="s">
        <v>1242</v>
      </c>
      <c r="B603" t="s">
        <v>1267</v>
      </c>
      <c r="C603">
        <v>1484.3</v>
      </c>
      <c r="D603">
        <v>26</v>
      </c>
      <c r="E603">
        <v>57.088461539999997</v>
      </c>
      <c r="F603" t="e">
        <f>VLOOKUP(A603, BIOSIM_REF!$A:$E, 3, FALSE)</f>
        <v>#N/A</v>
      </c>
      <c r="G603" t="e">
        <f>VLOOKUP(A603, BIOSIM_REF!$A:$E, 4, FALSE)</f>
        <v>#N/A</v>
      </c>
      <c r="H603" t="e">
        <f>VLOOKUP(A603, BIOSIM_REF!$A:$E, 5, FALSE)</f>
        <v>#N/A</v>
      </c>
    </row>
    <row r="604" spans="1:8" hidden="1" x14ac:dyDescent="0.25">
      <c r="A604" s="1" t="s">
        <v>1243</v>
      </c>
      <c r="B604" t="s">
        <v>1268</v>
      </c>
      <c r="C604">
        <v>1424.97</v>
      </c>
      <c r="D604">
        <v>32</v>
      </c>
      <c r="E604">
        <v>44.530312500000001</v>
      </c>
      <c r="F604" t="e">
        <f>VLOOKUP(A604, BIOSIM_REF!$A:$E, 3, FALSE)</f>
        <v>#N/A</v>
      </c>
      <c r="G604" t="e">
        <f>VLOOKUP(A604, BIOSIM_REF!$A:$E, 4, FALSE)</f>
        <v>#N/A</v>
      </c>
      <c r="H604" t="e">
        <f>VLOOKUP(A604, BIOSIM_REF!$A:$E, 5, FALSE)</f>
        <v>#N/A</v>
      </c>
    </row>
    <row r="605" spans="1:8" hidden="1" x14ac:dyDescent="0.25">
      <c r="A605" s="1" t="s">
        <v>1244</v>
      </c>
      <c r="B605" t="s">
        <v>1269</v>
      </c>
      <c r="C605">
        <v>1200.08</v>
      </c>
      <c r="F605" t="e">
        <f>VLOOKUP(A605, BIOSIM_REF!$A:$E, 3, FALSE)</f>
        <v>#N/A</v>
      </c>
      <c r="G605" t="e">
        <f>VLOOKUP(A605, BIOSIM_REF!$A:$E, 4, FALSE)</f>
        <v>#N/A</v>
      </c>
      <c r="H605" t="e">
        <f>VLOOKUP(A605, BIOSIM_REF!$A:$E, 5, FALSE)</f>
        <v>#N/A</v>
      </c>
    </row>
    <row r="606" spans="1:8" hidden="1" x14ac:dyDescent="0.25">
      <c r="A606" s="1" t="s">
        <v>1245</v>
      </c>
      <c r="B606" t="s">
        <v>1270</v>
      </c>
      <c r="C606">
        <v>1074.29</v>
      </c>
      <c r="D606">
        <v>135</v>
      </c>
      <c r="E606">
        <v>7.957703704</v>
      </c>
      <c r="F606" t="e">
        <f>VLOOKUP(A606, BIOSIM_REF!$A:$E, 3, FALSE)</f>
        <v>#N/A</v>
      </c>
      <c r="G606" t="e">
        <f>VLOOKUP(A606, BIOSIM_REF!$A:$E, 4, FALSE)</f>
        <v>#N/A</v>
      </c>
      <c r="H606" t="e">
        <f>VLOOKUP(A606, BIOSIM_REF!$A:$E, 5, FALSE)</f>
        <v>#N/A</v>
      </c>
    </row>
    <row r="607" spans="1:8" hidden="1" x14ac:dyDescent="0.25">
      <c r="A607" s="1" t="s">
        <v>1246</v>
      </c>
      <c r="B607" t="s">
        <v>1271</v>
      </c>
      <c r="C607">
        <v>749.27</v>
      </c>
      <c r="D607">
        <v>326</v>
      </c>
      <c r="E607">
        <v>2.2983742330000001</v>
      </c>
      <c r="F607" t="e">
        <f>VLOOKUP(A607, BIOSIM_REF!$A:$E, 3, FALSE)</f>
        <v>#N/A</v>
      </c>
      <c r="G607" t="e">
        <f>VLOOKUP(A607, BIOSIM_REF!$A:$E, 4, FALSE)</f>
        <v>#N/A</v>
      </c>
      <c r="H607" t="e">
        <f>VLOOKUP(A607, BIOSIM_REF!$A:$E, 5, FALSE)</f>
        <v>#N/A</v>
      </c>
    </row>
    <row r="608" spans="1:8" hidden="1" x14ac:dyDescent="0.25">
      <c r="A608" s="1" t="s">
        <v>1247</v>
      </c>
      <c r="B608" t="s">
        <v>1272</v>
      </c>
      <c r="C608">
        <v>635.24</v>
      </c>
      <c r="D608">
        <v>53</v>
      </c>
      <c r="E608">
        <v>11.985660380000001</v>
      </c>
      <c r="F608" t="e">
        <f>VLOOKUP(A608, BIOSIM_REF!$A:$E, 3, FALSE)</f>
        <v>#N/A</v>
      </c>
      <c r="G608" t="e">
        <f>VLOOKUP(A608, BIOSIM_REF!$A:$E, 4, FALSE)</f>
        <v>#N/A</v>
      </c>
      <c r="H608" t="e">
        <f>VLOOKUP(A608, BIOSIM_REF!$A:$E, 5, FALSE)</f>
        <v>#N/A</v>
      </c>
    </row>
    <row r="609" spans="1:8" hidden="1" x14ac:dyDescent="0.25">
      <c r="A609" s="1" t="s">
        <v>1248</v>
      </c>
      <c r="B609" t="s">
        <v>1273</v>
      </c>
      <c r="C609">
        <v>535.59</v>
      </c>
      <c r="D609">
        <v>104</v>
      </c>
      <c r="E609">
        <v>5.149903846</v>
      </c>
      <c r="F609" t="e">
        <f>VLOOKUP(A609, BIOSIM_REF!$A:$E, 3, FALSE)</f>
        <v>#N/A</v>
      </c>
      <c r="G609" t="e">
        <f>VLOOKUP(A609, BIOSIM_REF!$A:$E, 4, FALSE)</f>
        <v>#N/A</v>
      </c>
      <c r="H609" t="e">
        <f>VLOOKUP(A609, BIOSIM_REF!$A:$E, 5, FALSE)</f>
        <v>#N/A</v>
      </c>
    </row>
    <row r="610" spans="1:8" hidden="1" x14ac:dyDescent="0.25">
      <c r="A610" s="1" t="s">
        <v>1249</v>
      </c>
      <c r="B610" t="s">
        <v>1274</v>
      </c>
      <c r="C610">
        <v>511.69</v>
      </c>
      <c r="D610">
        <v>98</v>
      </c>
      <c r="E610">
        <v>5.2213265309999999</v>
      </c>
      <c r="F610" t="e">
        <f>VLOOKUP(A610, BIOSIM_REF!$A:$E, 3, FALSE)</f>
        <v>#N/A</v>
      </c>
      <c r="G610" t="e">
        <f>VLOOKUP(A610, BIOSIM_REF!$A:$E, 4, FALSE)</f>
        <v>#N/A</v>
      </c>
      <c r="H610" t="e">
        <f>VLOOKUP(A610, BIOSIM_REF!$A:$E, 5, FALSE)</f>
        <v>#N/A</v>
      </c>
    </row>
    <row r="611" spans="1:8" hidden="1" x14ac:dyDescent="0.25">
      <c r="A611" s="1" t="s">
        <v>1250</v>
      </c>
      <c r="B611" t="s">
        <v>1275</v>
      </c>
      <c r="C611">
        <v>471.72</v>
      </c>
      <c r="F611" t="e">
        <f>VLOOKUP(A611, BIOSIM_REF!$A:$E, 3, FALSE)</f>
        <v>#N/A</v>
      </c>
      <c r="G611" t="e">
        <f>VLOOKUP(A611, BIOSIM_REF!$A:$E, 4, FALSE)</f>
        <v>#N/A</v>
      </c>
      <c r="H611" t="e">
        <f>VLOOKUP(A611, BIOSIM_REF!$A:$E, 5, FALSE)</f>
        <v>#N/A</v>
      </c>
    </row>
    <row r="612" spans="1:8" hidden="1" x14ac:dyDescent="0.25">
      <c r="A612" s="1" t="s">
        <v>1251</v>
      </c>
      <c r="B612" t="s">
        <v>1276</v>
      </c>
      <c r="C612">
        <v>445.22</v>
      </c>
      <c r="F612" t="e">
        <f>VLOOKUP(A612, BIOSIM_REF!$A:$E, 3, FALSE)</f>
        <v>#N/A</v>
      </c>
      <c r="G612" t="e">
        <f>VLOOKUP(A612, BIOSIM_REF!$A:$E, 4, FALSE)</f>
        <v>#N/A</v>
      </c>
      <c r="H612" t="e">
        <f>VLOOKUP(A612, BIOSIM_REF!$A:$E, 5, FALSE)</f>
        <v>#N/A</v>
      </c>
    </row>
    <row r="613" spans="1:8" hidden="1" x14ac:dyDescent="0.25">
      <c r="A613" s="1" t="s">
        <v>1252</v>
      </c>
      <c r="B613" t="s">
        <v>1277</v>
      </c>
      <c r="C613">
        <v>338.14</v>
      </c>
      <c r="D613">
        <v>83</v>
      </c>
      <c r="E613">
        <v>4.0739759040000001</v>
      </c>
      <c r="F613" t="e">
        <f>VLOOKUP(A613, BIOSIM_REF!$A:$E, 3, FALSE)</f>
        <v>#N/A</v>
      </c>
      <c r="G613" t="e">
        <f>VLOOKUP(A613, BIOSIM_REF!$A:$E, 4, FALSE)</f>
        <v>#N/A</v>
      </c>
      <c r="H613" t="e">
        <f>VLOOKUP(A613, BIOSIM_REF!$A:$E, 5, FALSE)</f>
        <v>#N/A</v>
      </c>
    </row>
    <row r="614" spans="1:8" hidden="1" x14ac:dyDescent="0.25">
      <c r="A614" s="1" t="s">
        <v>1253</v>
      </c>
      <c r="B614" t="s">
        <v>1278</v>
      </c>
      <c r="C614">
        <v>251.22</v>
      </c>
      <c r="D614">
        <v>29</v>
      </c>
      <c r="E614">
        <v>8.662758621</v>
      </c>
      <c r="F614" t="e">
        <f>VLOOKUP(A614, BIOSIM_REF!$A:$E, 3, FALSE)</f>
        <v>#N/A</v>
      </c>
      <c r="G614" t="e">
        <f>VLOOKUP(A614, BIOSIM_REF!$A:$E, 4, FALSE)</f>
        <v>#N/A</v>
      </c>
      <c r="H614" t="e">
        <f>VLOOKUP(A614, BIOSIM_REF!$A:$E, 5, FALSE)</f>
        <v>#N/A</v>
      </c>
    </row>
    <row r="615" spans="1:8" hidden="1" x14ac:dyDescent="0.25">
      <c r="A615" s="1" t="s">
        <v>1254</v>
      </c>
      <c r="B615" t="s">
        <v>1279</v>
      </c>
      <c r="C615">
        <v>234.17</v>
      </c>
      <c r="D615">
        <v>56</v>
      </c>
      <c r="E615">
        <v>4.1816071429999999</v>
      </c>
      <c r="F615" t="e">
        <f>VLOOKUP(A615, BIOSIM_REF!$A:$E, 3, FALSE)</f>
        <v>#N/A</v>
      </c>
      <c r="G615" t="e">
        <f>VLOOKUP(A615, BIOSIM_REF!$A:$E, 4, FALSE)</f>
        <v>#N/A</v>
      </c>
      <c r="H615" t="e">
        <f>VLOOKUP(A615, BIOSIM_REF!$A:$E, 5, FALSE)</f>
        <v>#N/A</v>
      </c>
    </row>
    <row r="616" spans="1:8" hidden="1" x14ac:dyDescent="0.25">
      <c r="A616" s="1" t="s">
        <v>1255</v>
      </c>
      <c r="B616" t="s">
        <v>1280</v>
      </c>
      <c r="C616">
        <v>121.41</v>
      </c>
      <c r="D616">
        <v>36</v>
      </c>
      <c r="E616">
        <v>3.3725000000000001</v>
      </c>
      <c r="F616" t="e">
        <f>VLOOKUP(A616, BIOSIM_REF!$A:$E, 3, FALSE)</f>
        <v>#N/A</v>
      </c>
      <c r="G616" t="e">
        <f>VLOOKUP(A616, BIOSIM_REF!$A:$E, 4, FALSE)</f>
        <v>#N/A</v>
      </c>
      <c r="H616" t="e">
        <f>VLOOKUP(A616, BIOSIM_REF!$A:$E, 5, FALSE)</f>
        <v>#N/A</v>
      </c>
    </row>
    <row r="617" spans="1:8" hidden="1" x14ac:dyDescent="0.25">
      <c r="A617" s="1" t="s">
        <v>1256</v>
      </c>
      <c r="B617" t="s">
        <v>1281</v>
      </c>
      <c r="C617">
        <v>60.91</v>
      </c>
      <c r="F617" t="e">
        <f>VLOOKUP(A617, BIOSIM_REF!$A:$E, 3, FALSE)</f>
        <v>#N/A</v>
      </c>
      <c r="G617" t="e">
        <f>VLOOKUP(A617, BIOSIM_REF!$A:$E, 4, FALSE)</f>
        <v>#N/A</v>
      </c>
      <c r="H617" t="e">
        <f>VLOOKUP(A617, BIOSIM_REF!$A:$E, 5, FALSE)</f>
        <v>#N/A</v>
      </c>
    </row>
    <row r="618" spans="1:8" hidden="1" x14ac:dyDescent="0.25">
      <c r="A618" s="1" t="s">
        <v>1497</v>
      </c>
      <c r="B618" t="s">
        <v>1631</v>
      </c>
      <c r="C618">
        <v>4.6900000000000004</v>
      </c>
      <c r="F618" t="e">
        <f>VLOOKUP(A618, BIOSIM_REF!$A:$E, 3, FALSE)</f>
        <v>#N/A</v>
      </c>
      <c r="G618" t="e">
        <f>VLOOKUP(A618, BIOSIM_REF!$A:$E, 4, FALSE)</f>
        <v>#N/A</v>
      </c>
      <c r="H618" t="e">
        <f>VLOOKUP(A618, BIOSIM_REF!$A:$E, 5, FALSE)</f>
        <v>#N/A</v>
      </c>
    </row>
  </sheetData>
  <autoFilter ref="A1:K618" xr:uid="{0A34A2F0-7BB7-445C-B234-1D050460FF43}">
    <filterColumn colId="5">
      <filters>
        <filter val="N"/>
        <filter val="Y"/>
      </filters>
    </filterColumn>
  </autoFilter>
  <sortState xmlns:xlrd2="http://schemas.microsoft.com/office/spreadsheetml/2017/richdata2" ref="A9:K554">
    <sortCondition ref="G2:G55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266B-B7CC-4A5C-84E6-1F4EFC11C33C}">
  <dimension ref="A1:E36"/>
  <sheetViews>
    <sheetView workbookViewId="0">
      <selection activeCell="H14" sqref="H14"/>
    </sheetView>
  </sheetViews>
  <sheetFormatPr defaultRowHeight="15" x14ac:dyDescent="0.25"/>
  <cols>
    <col min="1" max="1" width="9.28515625" style="1" bestFit="1" customWidth="1"/>
    <col min="2" max="2" width="19" bestFit="1" customWidth="1"/>
    <col min="3" max="3" width="18" bestFit="1" customWidth="1"/>
    <col min="4" max="4" width="20.140625" bestFit="1" customWidth="1"/>
    <col min="5" max="5" width="17" bestFit="1" customWidth="1"/>
  </cols>
  <sheetData>
    <row r="1" spans="1:5" ht="15.75" thickBot="1" x14ac:dyDescent="0.3">
      <c r="A1" s="6" t="s">
        <v>1309</v>
      </c>
      <c r="B1" s="7" t="s">
        <v>1310</v>
      </c>
      <c r="C1" s="7" t="s">
        <v>1311</v>
      </c>
      <c r="D1" s="7" t="s">
        <v>1312</v>
      </c>
      <c r="E1" s="7" t="s">
        <v>1313</v>
      </c>
    </row>
    <row r="2" spans="1:5" x14ac:dyDescent="0.25">
      <c r="A2" s="4" t="s">
        <v>1314</v>
      </c>
      <c r="B2" s="5" t="s">
        <v>1315</v>
      </c>
      <c r="C2" s="5" t="s">
        <v>1316</v>
      </c>
      <c r="D2" s="5" t="s">
        <v>1317</v>
      </c>
      <c r="E2" s="5" t="s">
        <v>1318</v>
      </c>
    </row>
    <row r="3" spans="1:5" x14ac:dyDescent="0.25">
      <c r="A3" s="2" t="s">
        <v>108</v>
      </c>
      <c r="B3" s="3" t="s">
        <v>1317</v>
      </c>
      <c r="C3" s="3" t="s">
        <v>1316</v>
      </c>
      <c r="D3" s="3" t="s">
        <v>1317</v>
      </c>
      <c r="E3" s="3" t="s">
        <v>1318</v>
      </c>
    </row>
    <row r="4" spans="1:5" x14ac:dyDescent="0.25">
      <c r="A4" s="2" t="s">
        <v>1319</v>
      </c>
      <c r="B4" s="3" t="s">
        <v>1320</v>
      </c>
      <c r="C4" s="3" t="s">
        <v>1318</v>
      </c>
      <c r="D4" s="3" t="s">
        <v>1317</v>
      </c>
      <c r="E4" s="3" t="s">
        <v>1316</v>
      </c>
    </row>
    <row r="5" spans="1:5" x14ac:dyDescent="0.25">
      <c r="A5" s="2" t="s">
        <v>1321</v>
      </c>
      <c r="B5" s="3" t="s">
        <v>1322</v>
      </c>
      <c r="C5" s="3" t="s">
        <v>1318</v>
      </c>
      <c r="D5" s="3" t="s">
        <v>1317</v>
      </c>
      <c r="E5" s="3" t="s">
        <v>1316</v>
      </c>
    </row>
    <row r="6" spans="1:5" x14ac:dyDescent="0.25">
      <c r="A6" s="2" t="s">
        <v>1323</v>
      </c>
      <c r="B6" s="3" t="s">
        <v>1324</v>
      </c>
      <c r="C6" s="3" t="s">
        <v>1318</v>
      </c>
      <c r="D6" s="3" t="s">
        <v>1317</v>
      </c>
      <c r="E6" s="3" t="s">
        <v>1316</v>
      </c>
    </row>
    <row r="7" spans="1:5" x14ac:dyDescent="0.25">
      <c r="A7" s="2" t="s">
        <v>1325</v>
      </c>
      <c r="B7" s="3" t="s">
        <v>1326</v>
      </c>
      <c r="C7" s="3" t="s">
        <v>1318</v>
      </c>
      <c r="D7" s="3" t="s">
        <v>1317</v>
      </c>
      <c r="E7" s="3" t="s">
        <v>1316</v>
      </c>
    </row>
    <row r="8" spans="1:5" x14ac:dyDescent="0.25">
      <c r="A8" s="2" t="s">
        <v>1327</v>
      </c>
      <c r="B8" s="3" t="s">
        <v>1328</v>
      </c>
      <c r="C8" s="3" t="s">
        <v>1318</v>
      </c>
      <c r="D8" s="3" t="s">
        <v>1317</v>
      </c>
      <c r="E8" s="3" t="s">
        <v>1316</v>
      </c>
    </row>
    <row r="9" spans="1:5" x14ac:dyDescent="0.25">
      <c r="A9" s="2" t="s">
        <v>31</v>
      </c>
      <c r="B9" s="3" t="s">
        <v>1329</v>
      </c>
      <c r="C9" s="3" t="s">
        <v>1316</v>
      </c>
      <c r="D9" s="3" t="s">
        <v>1329</v>
      </c>
      <c r="E9" s="3" t="s">
        <v>1318</v>
      </c>
    </row>
    <row r="10" spans="1:5" x14ac:dyDescent="0.25">
      <c r="A10" s="2" t="s">
        <v>1330</v>
      </c>
      <c r="B10" s="3" t="s">
        <v>1329</v>
      </c>
      <c r="C10" s="3" t="s">
        <v>1316</v>
      </c>
      <c r="D10" s="3" t="s">
        <v>1329</v>
      </c>
      <c r="E10" s="3" t="s">
        <v>1318</v>
      </c>
    </row>
    <row r="11" spans="1:5" x14ac:dyDescent="0.25">
      <c r="A11" s="2" t="s">
        <v>1331</v>
      </c>
      <c r="B11" s="3" t="s">
        <v>1332</v>
      </c>
      <c r="C11" s="3" t="s">
        <v>1318</v>
      </c>
      <c r="D11" s="3" t="s">
        <v>1329</v>
      </c>
      <c r="E11" s="3" t="s">
        <v>1316</v>
      </c>
    </row>
    <row r="12" spans="1:5" x14ac:dyDescent="0.25">
      <c r="A12" s="2" t="s">
        <v>1333</v>
      </c>
      <c r="B12" s="3" t="s">
        <v>1334</v>
      </c>
      <c r="C12" s="3" t="s">
        <v>1318</v>
      </c>
      <c r="D12" s="3" t="s">
        <v>1329</v>
      </c>
      <c r="E12" s="3" t="s">
        <v>1316</v>
      </c>
    </row>
    <row r="13" spans="1:5" x14ac:dyDescent="0.25">
      <c r="A13" s="2" t="s">
        <v>1335</v>
      </c>
      <c r="B13" s="3" t="s">
        <v>1336</v>
      </c>
      <c r="C13" s="3" t="s">
        <v>1318</v>
      </c>
      <c r="D13" s="3" t="s">
        <v>1329</v>
      </c>
      <c r="E13" s="3" t="s">
        <v>1316</v>
      </c>
    </row>
    <row r="14" spans="1:5" x14ac:dyDescent="0.25">
      <c r="A14" s="2" t="s">
        <v>1337</v>
      </c>
      <c r="B14" s="3" t="s">
        <v>1338</v>
      </c>
      <c r="C14" s="3" t="s">
        <v>1318</v>
      </c>
      <c r="D14" s="3" t="s">
        <v>1329</v>
      </c>
      <c r="E14" s="3" t="s">
        <v>1316</v>
      </c>
    </row>
    <row r="15" spans="1:5" x14ac:dyDescent="0.25">
      <c r="A15" s="2" t="s">
        <v>1339</v>
      </c>
      <c r="B15" s="3" t="s">
        <v>1340</v>
      </c>
      <c r="C15" s="3" t="s">
        <v>1318</v>
      </c>
      <c r="D15" s="3" t="s">
        <v>1329</v>
      </c>
      <c r="E15" s="3" t="s">
        <v>1316</v>
      </c>
    </row>
    <row r="16" spans="1:5" x14ac:dyDescent="0.25">
      <c r="A16" s="2" t="s">
        <v>1341</v>
      </c>
      <c r="B16" s="3" t="s">
        <v>1342</v>
      </c>
      <c r="C16" s="3" t="s">
        <v>1318</v>
      </c>
      <c r="D16" s="3" t="s">
        <v>1329</v>
      </c>
      <c r="E16" s="3" t="s">
        <v>1316</v>
      </c>
    </row>
    <row r="17" spans="1:5" x14ac:dyDescent="0.25">
      <c r="A17" s="2" t="s">
        <v>1343</v>
      </c>
      <c r="B17" s="3" t="s">
        <v>1342</v>
      </c>
      <c r="C17" s="3" t="s">
        <v>1318</v>
      </c>
      <c r="D17" s="3" t="s">
        <v>1329</v>
      </c>
      <c r="E17" s="3" t="s">
        <v>1316</v>
      </c>
    </row>
    <row r="18" spans="1:5" x14ac:dyDescent="0.25">
      <c r="A18" s="2" t="s">
        <v>350</v>
      </c>
      <c r="B18" s="3" t="s">
        <v>1344</v>
      </c>
      <c r="C18" s="3" t="s">
        <v>1316</v>
      </c>
      <c r="D18" s="3" t="s">
        <v>1344</v>
      </c>
      <c r="E18" s="3" t="s">
        <v>1318</v>
      </c>
    </row>
    <row r="19" spans="1:5" x14ac:dyDescent="0.25">
      <c r="A19" s="2" t="s">
        <v>1345</v>
      </c>
      <c r="B19" s="3" t="s">
        <v>1346</v>
      </c>
      <c r="C19" s="3" t="s">
        <v>1318</v>
      </c>
      <c r="D19" s="3" t="s">
        <v>1344</v>
      </c>
      <c r="E19" s="3" t="s">
        <v>1316</v>
      </c>
    </row>
    <row r="20" spans="1:5" x14ac:dyDescent="0.25">
      <c r="A20" s="2" t="s">
        <v>327</v>
      </c>
      <c r="B20" s="3" t="s">
        <v>1347</v>
      </c>
      <c r="C20" s="3" t="s">
        <v>1318</v>
      </c>
      <c r="D20" s="3" t="s">
        <v>1344</v>
      </c>
      <c r="E20" s="3" t="s">
        <v>1316</v>
      </c>
    </row>
    <row r="21" spans="1:5" x14ac:dyDescent="0.25">
      <c r="A21" s="2" t="s">
        <v>1348</v>
      </c>
      <c r="B21" s="3" t="s">
        <v>1349</v>
      </c>
      <c r="C21" s="3" t="s">
        <v>1318</v>
      </c>
      <c r="D21" s="3" t="s">
        <v>1344</v>
      </c>
      <c r="E21" s="3" t="s">
        <v>1316</v>
      </c>
    </row>
    <row r="22" spans="1:5" x14ac:dyDescent="0.25">
      <c r="A22" s="2" t="s">
        <v>1129</v>
      </c>
      <c r="B22" s="3" t="s">
        <v>1350</v>
      </c>
      <c r="C22" s="3" t="s">
        <v>1316</v>
      </c>
      <c r="D22" s="3" t="s">
        <v>1351</v>
      </c>
      <c r="E22" s="3" t="s">
        <v>1318</v>
      </c>
    </row>
    <row r="23" spans="1:5" x14ac:dyDescent="0.25">
      <c r="A23" s="2" t="s">
        <v>216</v>
      </c>
      <c r="B23" s="3" t="s">
        <v>1351</v>
      </c>
      <c r="C23" s="3" t="s">
        <v>1316</v>
      </c>
      <c r="D23" s="3" t="s">
        <v>1351</v>
      </c>
      <c r="E23" s="3" t="s">
        <v>1318</v>
      </c>
    </row>
    <row r="24" spans="1:5" x14ac:dyDescent="0.25">
      <c r="A24" s="2" t="s">
        <v>1352</v>
      </c>
      <c r="B24" s="3" t="s">
        <v>1353</v>
      </c>
      <c r="C24" s="3" t="s">
        <v>1318</v>
      </c>
      <c r="D24" s="3" t="s">
        <v>1351</v>
      </c>
      <c r="E24" s="3" t="s">
        <v>1316</v>
      </c>
    </row>
    <row r="25" spans="1:5" x14ac:dyDescent="0.25">
      <c r="A25" s="2" t="s">
        <v>1354</v>
      </c>
      <c r="B25" s="3" t="s">
        <v>1353</v>
      </c>
      <c r="C25" s="3" t="s">
        <v>1318</v>
      </c>
      <c r="D25" s="3" t="s">
        <v>1351</v>
      </c>
      <c r="E25" s="3" t="s">
        <v>1316</v>
      </c>
    </row>
    <row r="26" spans="1:5" x14ac:dyDescent="0.25">
      <c r="A26" s="2" t="s">
        <v>32</v>
      </c>
      <c r="B26" s="3" t="s">
        <v>1355</v>
      </c>
      <c r="C26" s="3" t="s">
        <v>1316</v>
      </c>
      <c r="D26" s="3" t="s">
        <v>1355</v>
      </c>
      <c r="E26" s="3" t="s">
        <v>1318</v>
      </c>
    </row>
    <row r="27" spans="1:5" x14ac:dyDescent="0.25">
      <c r="A27" s="2" t="s">
        <v>1356</v>
      </c>
      <c r="B27" s="3" t="s">
        <v>1357</v>
      </c>
      <c r="C27" s="3" t="s">
        <v>1318</v>
      </c>
      <c r="D27" s="3" t="s">
        <v>1355</v>
      </c>
      <c r="E27" s="3" t="s">
        <v>1316</v>
      </c>
    </row>
    <row r="28" spans="1:5" x14ac:dyDescent="0.25">
      <c r="A28" s="2" t="s">
        <v>1358</v>
      </c>
      <c r="B28" s="3" t="s">
        <v>1359</v>
      </c>
      <c r="C28" s="3" t="s">
        <v>1318</v>
      </c>
      <c r="D28" s="3" t="s">
        <v>1355</v>
      </c>
      <c r="E28" s="3" t="s">
        <v>1316</v>
      </c>
    </row>
    <row r="29" spans="1:5" x14ac:dyDescent="0.25">
      <c r="A29" s="2" t="s">
        <v>1360</v>
      </c>
      <c r="B29" s="3" t="s">
        <v>1361</v>
      </c>
      <c r="C29" s="3" t="s">
        <v>1318</v>
      </c>
      <c r="D29" s="3" t="s">
        <v>1355</v>
      </c>
      <c r="E29" s="3" t="s">
        <v>1316</v>
      </c>
    </row>
    <row r="30" spans="1:5" x14ac:dyDescent="0.25">
      <c r="A30" s="2" t="s">
        <v>1362</v>
      </c>
      <c r="B30" s="3" t="s">
        <v>1363</v>
      </c>
      <c r="C30" s="3" t="s">
        <v>1318</v>
      </c>
      <c r="D30" s="3" t="s">
        <v>1355</v>
      </c>
      <c r="E30" s="3" t="s">
        <v>1316</v>
      </c>
    </row>
    <row r="31" spans="1:5" x14ac:dyDescent="0.25">
      <c r="A31" s="2" t="s">
        <v>1364</v>
      </c>
      <c r="B31" s="3" t="s">
        <v>1365</v>
      </c>
      <c r="C31" s="3" t="s">
        <v>1316</v>
      </c>
      <c r="D31" s="3" t="s">
        <v>1365</v>
      </c>
      <c r="E31" s="3" t="s">
        <v>1318</v>
      </c>
    </row>
    <row r="32" spans="1:5" x14ac:dyDescent="0.25">
      <c r="A32" s="2" t="s">
        <v>1366</v>
      </c>
      <c r="B32" s="3" t="s">
        <v>1367</v>
      </c>
      <c r="C32" s="3" t="s">
        <v>1316</v>
      </c>
      <c r="D32" s="3" t="s">
        <v>1365</v>
      </c>
      <c r="E32" s="3" t="s">
        <v>1318</v>
      </c>
    </row>
    <row r="33" spans="1:5" x14ac:dyDescent="0.25">
      <c r="A33" s="2" t="s">
        <v>1368</v>
      </c>
      <c r="B33" s="3" t="s">
        <v>1365</v>
      </c>
      <c r="C33" s="3" t="s">
        <v>1316</v>
      </c>
      <c r="D33" s="3" t="s">
        <v>1365</v>
      </c>
      <c r="E33" s="3" t="s">
        <v>1318</v>
      </c>
    </row>
    <row r="34" spans="1:5" x14ac:dyDescent="0.25">
      <c r="A34" s="2" t="s">
        <v>1369</v>
      </c>
      <c r="B34" s="3" t="s">
        <v>1370</v>
      </c>
      <c r="C34" s="3" t="s">
        <v>1318</v>
      </c>
      <c r="D34" s="3" t="s">
        <v>1365</v>
      </c>
      <c r="E34" s="3" t="s">
        <v>1316</v>
      </c>
    </row>
    <row r="35" spans="1:5" x14ac:dyDescent="0.25">
      <c r="A35" s="2" t="s">
        <v>1371</v>
      </c>
      <c r="B35" s="3" t="s">
        <v>1372</v>
      </c>
      <c r="C35" s="3" t="s">
        <v>1318</v>
      </c>
      <c r="D35" s="3" t="s">
        <v>1365</v>
      </c>
      <c r="E35" s="3" t="s">
        <v>1316</v>
      </c>
    </row>
    <row r="36" spans="1:5" x14ac:dyDescent="0.25">
      <c r="A36" s="2" t="s">
        <v>1373</v>
      </c>
      <c r="B36" s="3" t="s">
        <v>1374</v>
      </c>
      <c r="C36" s="3" t="s">
        <v>1318</v>
      </c>
      <c r="D36" s="3" t="s">
        <v>1365</v>
      </c>
      <c r="E36" s="3" t="s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PMPM</vt:lpstr>
      <vt:lpstr>TOP10</vt:lpstr>
      <vt:lpstr>ENTYVIO</vt:lpstr>
      <vt:lpstr>BIOSIM_ANALYSIS</vt:lpstr>
      <vt:lpstr>BIOSIM_2021</vt:lpstr>
      <vt:lpstr>BIOSIM_REF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 Schwartz</cp:lastModifiedBy>
  <dcterms:created xsi:type="dcterms:W3CDTF">2015-06-05T18:17:20Z</dcterms:created>
  <dcterms:modified xsi:type="dcterms:W3CDTF">2025-12-03T03:25:44Z</dcterms:modified>
</cp:coreProperties>
</file>